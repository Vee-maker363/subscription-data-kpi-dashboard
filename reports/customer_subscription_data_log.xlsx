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04E275FD-618F-43E4-8F85-1CF596184278}" xr6:coauthVersionLast="47" xr6:coauthVersionMax="47" xr10:uidLastSave="{00000000-0000-0000-0000-000000000000}"/>
  <bookViews>
    <workbookView xWindow="28680" yWindow="-120" windowWidth="29040" windowHeight="15720" tabRatio="500" activeTab="3" xr2:uid="{00000000-000D-0000-FFFF-FFFF00000000}"/>
  </bookViews>
  <sheets>
    <sheet name="Overview" sheetId="1" r:id="rId1"/>
    <sheet name="Issues Log" sheetId="2" r:id="rId2"/>
    <sheet name="KPI Scope &amp; Priority" sheetId="3" r:id="rId3"/>
    <sheet name="Process Note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2" l="1"/>
  <c r="E23" i="2"/>
  <c r="E22" i="2"/>
  <c r="E21" i="2"/>
  <c r="E20" i="2"/>
  <c r="E19" i="2"/>
  <c r="E18" i="2"/>
  <c r="E17" i="2"/>
  <c r="E16" i="2"/>
  <c r="E15" i="2"/>
  <c r="E14" i="2"/>
  <c r="E13" i="2"/>
  <c r="E12" i="2"/>
  <c r="E11" i="2"/>
  <c r="E10" i="2"/>
  <c r="E9" i="2"/>
  <c r="E8" i="2"/>
  <c r="E7" i="2"/>
  <c r="E6" i="2"/>
  <c r="E5" i="2"/>
</calcChain>
</file>

<file path=xl/sharedStrings.xml><?xml version="1.0" encoding="utf-8"?>
<sst xmlns="http://schemas.openxmlformats.org/spreadsheetml/2006/main" count="413" uniqueCount="361">
  <si>
    <t>Customer Acquisition Subscription List – Data Quality Audit</t>
  </si>
  <si>
    <t>Source file: Business_Data.xlsx  |  Sheet: Table1  |  Reviewed by: Data Analyst  |  Purpose: Pre-cleaning audit prior to Excel/Power BI processing</t>
  </si>
  <si>
    <t>DATASET SNAPSHOT</t>
  </si>
  <si>
    <t>Metric</t>
  </si>
  <si>
    <t>Value</t>
  </si>
  <si>
    <t>Note</t>
  </si>
  <si>
    <t>Total data rows</t>
  </si>
  <si>
    <t>Confirmed via row count, not via MAX(id) — see Issue #1</t>
  </si>
  <si>
    <t>Total columns</t>
  </si>
  <si>
    <t>Row identifier used</t>
  </si>
  <si>
    <t>id (1–2170, 5 gaps)</t>
  </si>
  <si>
    <t>Sequential surrogate key; not equal to row count</t>
  </si>
  <si>
    <t>Secondary identifier</t>
  </si>
  <si>
    <t>user_id (1–5 digits)</t>
  </si>
  <si>
    <t>References an account/customer — not unique per row (87 duplicate values)</t>
  </si>
  <si>
    <t>Date range (created_at)</t>
  </si>
  <si>
    <t>2023-08-31 to 2026-04-06</t>
  </si>
  <si>
    <t>Nationalities represented</t>
  </si>
  <si>
    <t>Dominated by Nigeria (1,907) and United Kingdom (117)</t>
  </si>
  <si>
    <t>Currencies represented</t>
  </si>
  <si>
    <t>Pounds, Naira, Dollar, Euro — not normalized to a common base</t>
  </si>
  <si>
    <t>Exact duplicate submissions found</t>
  </si>
  <si>
    <t>14 rows (7 pairs)</t>
  </si>
  <si>
    <t>Same user_id + same created_at to the second</t>
  </si>
  <si>
    <t>Columns with structural issues</t>
  </si>
  <si>
    <t>10 of 14</t>
  </si>
  <si>
    <t>See Issues Log tab for full breakdown</t>
  </si>
  <si>
    <t>HOW TO READ THE OTHER TABS</t>
  </si>
  <si>
    <t>•  Process Notes — a chronological log of the audit method itself: what was checked, in what order, with which tool, and why — written to be reusable as the basis of a published write-up.</t>
  </si>
  <si>
    <t>Issues Log</t>
  </si>
  <si>
    <t>Total rows in dataset:</t>
  </si>
  <si>
    <t>(referenced by the Magnitude formula in column F — update here if the source file changes)</t>
  </si>
  <si>
    <t>#</t>
  </si>
  <si>
    <t>Column(s) Affected</t>
  </si>
  <si>
    <t>Issue</t>
  </si>
  <si>
    <t>Row Count
Affected</t>
  </si>
  <si>
    <t>Magnitude</t>
  </si>
  <si>
    <t>Solvable?</t>
  </si>
  <si>
    <t>Resolution / Recommended Fix</t>
  </si>
  <si>
    <t>Excel / Power BI Method</t>
  </si>
  <si>
    <t>Root Cause</t>
  </si>
  <si>
    <t>KPI Relevance
(see KPI Scope tab)</t>
  </si>
  <si>
    <t>id</t>
  </si>
  <si>
    <t>Row count cannot be inferred from MAX(id). Max id = 2170 but only 2,165 rows exist — ids 73, 298, 1287, 1459, 1796 are missing, indicating 5 records were deleted at some point after creation.</t>
  </si>
  <si>
    <t>Y</t>
  </si>
  <si>
    <t>Use COUNTA() / the actual row count for any “total records” figure — never MAX(id). Document the 5 gaps as historical deletions; no value needs changing.</t>
  </si>
  <si>
    <t>Excel: =COUNTA(id_range) for record counts. Power BI: use a Count measure on the table, not MAX(id).</t>
  </si>
  <si>
    <t>Surrogate key behaviour (auto-increment persists across deletes)</t>
  </si>
  <si>
    <t>Low priority — hygiene note only; no KPI depends on MAX(id). No fix required for this task.</t>
  </si>
  <si>
    <t>heard_about_us</t>
  </si>
  <si>
    <t>“Please select from list below” is a placeholder for an unanswered required dropdown, but it was captured as if it were a real answer.</t>
  </si>
  <si>
    <t>Recode to blank / “Unknown” so it doesn't appear as its own category in channel-performance charts.</t>
  </si>
  <si>
    <t>Power Query: Replace Values → null. Or Excel Find &amp; Replace, then group blanks as “Unknown” in the PivotTable.</t>
  </si>
  <si>
    <t>Required field not enforced at the form level</t>
  </si>
  <si>
    <t>IN SCOPE — KPI1 (top 4 channels) and KPI3 (age range by channel) both group on this field; the placeholder must not appear as a channel.</t>
  </si>
  <si>
    <t>referee</t>
  </si>
  <si>
    <t>Standardize every entry to Proper Case for consistent grouping and reporting.</t>
  </si>
  <si>
    <t>Excel: =PROPER(TRIM(cell)). Power Query: Transform → Format → Capitalize Each Word.</t>
  </si>
  <si>
    <t>Free-text entry field with no format validation</t>
  </si>
  <si>
    <t>IN SCOPE (supporting detail) — KPI2 asks whether referral is significant; standardizing names helps identify top individual referrers as supporting evidence, but is not required for the core significance answer.</t>
  </si>
  <si>
    <t>Non-name / placeholder content: gibberish (“XXX”, “ACUK 222”, “kb kjbkjuvhyjuvjb”, “lkhlnnn”, “ae”) and generic non-answers (“Friend”, “Self”) that don't identify an actual referrer.</t>
  </si>
  <si>
    <t>Partial</t>
  </si>
  <si>
    <t>Flag as “Unverifiable / not a name” for manual review. Cannot be algorithmically restored to a real name — only recoverable by going back to the original submission source if referral tracking matters commercially.</t>
  </si>
  <si>
    <t>Excel: conditional formatting rule flagging entries that are all-numeric, under 2 characters, or contain no vowels for review.</t>
  </si>
  <si>
    <t>IN SCOPE (supporting detail) — same rationale as above; only affects a “top referrers” drill-down, not the core KPI2 volume comparison.</t>
  </si>
  <si>
    <t>Trim and collapse repeated internal spaces to a single space.</t>
  </si>
  <si>
    <t>Excel: =TRIM(cell) — TRIM collapses both leading/trailing AND repeated internal spaces. Power Query: Transform → Format → Trim.</t>
  </si>
  <si>
    <t>Manual keyboard entry error</t>
  </si>
  <si>
    <t>IN SCOPE (supporting detail) — same rationale; trivial fix, only matters when grouping referee names.</t>
  </si>
  <si>
    <t>age_range</t>
  </si>
  <si>
    <t>Blank cells — respondent did not select an age band.</t>
  </si>
  <si>
    <t>Leave as null / recode to an explicit “Not Provided” label for reporting. Do not impute an age bracket — there is no reliable basis to guess it.</t>
  </si>
  <si>
    <t>Power Query: Replace null → “Not Provided” for display; keep true blank in the analytical table.</t>
  </si>
  <si>
    <t>Optional field left blank by respondent</t>
  </si>
  <si>
    <t>IN SCOPE — KPI3 asks directly which age range is underrepresented per channel; blanks must be handled explicitly rather than silently dropped or miscounted.</t>
  </si>
  <si>
    <t>highest_level_of_education</t>
  </si>
  <si>
    <t>Blank cells — respondent did not select an education level (may mean “no formal education” or simply “skipped” — the two are not distinguishable in this data).</t>
  </si>
  <si>
    <t>Recode to “Not Provided” rather than assuming “No education” — the blank is ambiguous and should not be silently reclassified.</t>
  </si>
  <si>
    <t>Power Query: Replace null → “Not Provided”.</t>
  </si>
  <si>
    <t>IN SCOPE — KPI5 asks which education level to focus on; blanks must be handled explicitly.</t>
  </si>
  <si>
    <t>Inconsistent label casing: “pHD (Doctorate Degree)” breaks the Title Case pattern used by every other category (“First Degree Only”, “Masters Degree”, etc.).</t>
  </si>
  <si>
    <t>Standardize the label to “PhD (Doctorate Degree)” to match the casing convention of every other category.</t>
  </si>
  <si>
    <t>Power Query / Excel: exact-match Find &amp; Replace on the category label.</t>
  </si>
  <si>
    <t>Category label typed inconsistently when the dropdown option was created</t>
  </si>
  <si>
    <t>IN SCOPE — KPI5 groups by education level; an inconsistent label would split “PhD” into two categories and undercount it.</t>
  </si>
  <si>
    <t>nationality</t>
  </si>
  <si>
    <t>UK constituent countries recorded as separate nationalities (“Wales”, “Scotland”) alongside “United Kingdom”; “Gambia, The” uses a different naming convention (comma-style) to every other country in the list.</t>
  </si>
  <si>
    <t>Recode Wales/Scotland → United Kingdom (add a separate “UK Nation” field only if that sub-national detail is genuinely needed). Rename “Gambia, The” → “Gambia” to match the rest of the list.</t>
  </si>
  <si>
    <t>Power Query: Replace Values / a conditional column mapping constituent-country names to “United Kingdom”.</t>
  </si>
  <si>
    <t>No standard country-list validation on the input field (free text or an unvalidated custom list)</t>
  </si>
  <si>
    <t>IN SCOPE — KPI5 asks “from what country/countries”; Wales/Scotland must roll into United Kingdom or the country-level view fragments.</t>
  </si>
  <si>
    <t>user_id</t>
  </si>
  <si>
    <t>Not a unique row identifier — 73 distinct user_id values are duplicated (comprising 87 extra rows beyond each group's first occurrence, 160 rows total). Investigation confirmed every duplicate group is a same-session resubmission artifact: all 69 groups remaining after the Issue #12 exact-duplicate cleanup are clustered within 11 minutes or less, with identical demographic and channel data — no group shows a gap of even one day, so none represent a genuine returning customer.</t>
  </si>
  <si>
    <t>Power Query: Group By user_id, add an index sorted by created_at ascending within each group, keep index = 1 only. Power BI / Excel: once deduped, a plain COUNT/DISTINCTCOUNT on either id or user_id will agree.</t>
  </si>
  <si>
    <t>user_id is a foreign key to an external accounts system, not a row key for this table</t>
  </si>
  <si>
    <t>IN SCOPE — Data Source metric is “Customer Acquisition data”; every KPI implicitly counts customers, so a non-unique user_id affects all 5 KPIs if used for counting.</t>
  </si>
  <si>
    <t>gender</t>
  </si>
  <si>
    <t>Blank cells — respondent did not select a gender.</t>
  </si>
  <si>
    <t>Recode to “Not Provided” rather than leaving blank — a blank slice in a chart reads as an error rather than a deliberate category.</t>
  </si>
  <si>
    <t>IN SCOPE — KPI4 directly compares male vs female percentages; blanks must be excluded from that ratio rather than silently miscounted.</t>
  </si>
  <si>
    <t>(whole row)</t>
  </si>
  <si>
    <t>14 rows (7 pairs) are exact duplicates of another row aside from id, sharing the same user_id and the same created_at timestamp down to the second — consistent with an accidental double form submission (e.g. a double-click on Submit).</t>
  </si>
  <si>
    <t>SUPERSEDED by the full user_id dedup in Issue #10 — that single step (group by user_id, keep earliest created_at) already removes these 14 rows as a subset, so no separate action is needed here. Kept in the log for the audit trail of how this was originally found.</t>
  </si>
  <si>
    <t>Power Query: Remove Duplicates on all columns except id. Excel: Data → Remove Duplicates with id excluded from the comparison range.</t>
  </si>
  <si>
    <t>Front-end form allowed a duplicate click-through instead of disabling the button after first submit</t>
  </si>
  <si>
    <t>IN SCOPE (all KPIs) — duplicate submissions inflate whichever channel/year/gender/education combination they fall into, biasing every KPI that counts rows.</t>
  </si>
  <si>
    <t>target_income</t>
  </si>
  <si>
    <t>“--Select Target Income--” is a placeholder for an unanswered required dropdown, captured as if it were a real value (same pattern as heard_about_us).</t>
  </si>
  <si>
    <t>Recode to blank / “Unknown”.</t>
  </si>
  <si>
    <t>Power Query: Replace Values → null.</t>
  </si>
  <si>
    <t>OUT OF SCOPE — no KPI uses target_income. Defer.</t>
  </si>
  <si>
    <t>The populated values are a numeric code (1–16), not an income figure or label — and no lookup table mapping code → income band is included in this export, so the column cannot be interpreted as-is.</t>
  </si>
  <si>
    <t>Obtain the original dropdown's code-to-band mapping from the source system/form owner before using this field. Until confirmed, treat values only as an ordinal ranking, never as a real income amount.</t>
  </si>
  <si>
    <t>Once confirmed: build a small Code → Band lookup table and join via Power Query Merge Queries, or XLOOKUP in Excel.</t>
  </si>
  <si>
    <t>Column exported without its associated reference/lookup table</t>
  </si>
  <si>
    <t>OUT OF SCOPE — no KPI uses target_income. The code→band lookup table is no longer needed for this task; defer indefinitely.</t>
  </si>
  <si>
    <t>current_income_range</t>
  </si>
  <si>
    <t>“0” dominates the column (1,754 of 2,165 rows) and almost certainly represents an unanswered default rather than a genuine zero income.</t>
  </si>
  <si>
    <t>Recode “0” to null / “Unknown” before any aggregation — leaving it as a literal 0 would badly distort an average.</t>
  </si>
  <si>
    <t>Power Query: Replace Values ‘‘0’’ → null (only for this column).</t>
  </si>
  <si>
    <t>Default form value stored as if it were a genuine answer</t>
  </si>
  <si>
    <t>OUT OF SCOPE — no KPI uses current_income_range. Defer.</t>
  </si>
  <si>
    <t>Where genuinely populated (~105 rows), the field is free text, not a fixed range: 79 unique formats including comma-formatted numbers (“30,000”), currency-prefixed text (“10$”), and typed ranges (“20K-25K per annum”, “21000-22000”).</t>
  </si>
  <si>
    <t>Parse into a consistent numeric value: strip commas/currency symbols, expand “K” shorthand ×1000, and take the midpoint of any typed range. Flag anything that still doesn't parse for manual review.</t>
  </si>
  <si>
    <t>Power Query: a series of conditional Replace Value / Text.Replace steps, or a custom column with nested logic — workable but repetitive for ~80 distinct formats.</t>
  </si>
  <si>
    <t>Free-text entry field with no format validation, layered on top of the placeholder issue above</t>
  </si>
  <si>
    <t>current_income_per_annum</t>
  </si>
  <si>
    <t>Implausible values: 4 negative figures (-100, -21, -4) and 1 extreme outlier (1,000,000,000,000) that cannot be a real annual income.</t>
  </si>
  <si>
    <t>Flag and exclude from averages/sums rather than silently keeping or silently deleting. Likely typos (extra/missing digit, stray minus sign) but not correctable with certainty without the original respondent.</t>
  </si>
  <si>
    <t>Conditional formatting to flag &lt;0 or values beyond a set ceiling (e.g. 99.5th percentile within each currency); exclude via filter in the PivotTable/report rather than deleting source rows.</t>
  </si>
  <si>
    <t>Manual numeric entry error (no input validation/range check on the form field)</t>
  </si>
  <si>
    <t>OUT OF SCOPE — no KPI uses current_income_per_annum. Defer.</t>
  </si>
  <si>
    <t>current_income_per_annum,
current_income_range,
target_income</t>
  </si>
  <si>
    <t>All three income-related fields are null for every single row created before 2023-11-08 (296 rows) — not random missingness. Every row from that date onward has at least target_income populated, indicating these fields were added to the sign-up form on/around that date.</t>
  </si>
  <si>
    <t>Exclude these 296 rows from any income-based analysis with a clear footnote (“income fields introduced 2023-11-08”). Do not impute — the data was genuinely never collected, not lost.</t>
  </si>
  <si>
    <t>Add a calculated column: Income Field Era = IF(created_at &lt; DATE(2023,11,8), “Pre-income-fields”, “Post-income-fields”). Use as a report filter/slicer.</t>
  </si>
  <si>
    <t>Sign-up form schema changed over time; export doesn't carry a changelog, so it had to be reconstructed from timestamps</t>
  </si>
  <si>
    <t>OUT OF SCOPE — no KPI uses any income field. Defer.</t>
  </si>
  <si>
    <t>Figures are recorded in four different currencies (Pounds, Naira, Dollar, Euro) with no shared base currency, so raw comparison or aggregation across the whole column is misleading (Naira values are nominally far larger purely due to exchange rate, not higher real income).</t>
  </si>
  <si>
    <t>Convert all figures to one reporting currency using a documented FX rate before comparing or aggregating. Keep the original currency and original value as an audit-trail column alongside the converted figure.</t>
  </si>
  <si>
    <t>Small rate lookup table + Power Query Merge Queries calculated column, or a Power BI DAX measure referencing a currency-rate table.</t>
  </si>
  <si>
    <t>Multi-currency respondents with no normalization step built into the original form/export</t>
  </si>
  <si>
    <t>OUT OF SCOPE — no KPI uses current_income_per_annum or currency. Defer.</t>
  </si>
  <si>
    <t>created_at</t>
  </si>
  <si>
    <t>The stated reporting cycle for this task is Yearly, 2023–2025, but the dataset contains 139 rows dated into 2026 (up to 2026-04-06) — a partial fourth year outside the brief. Left in, these rows would distort every year-on-year KPI (channel trend, gender ratio, etc.) with an incomplete final period.</t>
  </si>
  <si>
    <t>Power Query: filter step on created_at (Date.Year([created_at]) &lt;= 2025). Power BI: a Year slicer/filter fixed to 2023–2025, or a calculated column flag.</t>
  </si>
  <si>
    <t>Data export pulled at a later date than the reporting brief was written, so it naturally contains more recent rows than the brief's stated window</t>
  </si>
  <si>
    <t>IN SCOPE — CRITICAL, affects all 5 KPIs. This was not in the original Issues Log; found while comparing the KPI brief's reporting cycle against the data's actual date range.</t>
  </si>
  <si>
    <t>Legend:</t>
  </si>
  <si>
    <t>Fully solvable with a deterministic fix</t>
  </si>
  <si>
    <t>Can be flagged/standardized, but the true underlying value can't be recovered with certainty</t>
  </si>
  <si>
    <t>N</t>
  </si>
  <si>
    <t>Not used in this log, reserved for genuinely unrecoverable issues</t>
  </si>
  <si>
    <t>TASK PARAMETERS</t>
  </si>
  <si>
    <t>Data type</t>
  </si>
  <si>
    <t>Business Data — Customer Acquisition</t>
  </si>
  <si>
    <t>Data source</t>
  </si>
  <si>
    <t>MySQL database</t>
  </si>
  <si>
    <t>Reporting cycle</t>
  </si>
  <si>
    <t>Yearly, 2023 – 2025 (3 years)</t>
  </si>
  <si>
    <t>KPI → REQUIRED COLUMNS</t>
  </si>
  <si>
    <t>KPI (as written in the brief)</t>
  </si>
  <si>
    <t>Columns Required</t>
  </si>
  <si>
    <t>Years in Scope</t>
  </si>
  <si>
    <t>1</t>
  </si>
  <si>
    <t>Show the trend performance for the top 4 channels where customers heard about us</t>
  </si>
  <si>
    <t>heard_about_us, created_at</t>
  </si>
  <si>
    <t>2023–2025</t>
  </si>
  <si>
    <t>2</t>
  </si>
  <si>
    <t>Is the referral channel significant to the business owner?</t>
  </si>
  <si>
    <t>heard_about_us (Friend), referee, created_at</t>
  </si>
  <si>
    <t>3</t>
  </si>
  <si>
    <t>What age range has low customers from channels where customers heard about us?</t>
  </si>
  <si>
    <t>age_range, heard_about_us</t>
  </si>
  <si>
    <t>4</t>
  </si>
  <si>
    <t>What is the percentage increase or decrease comparing the male and female gender annually?</t>
  </si>
  <si>
    <t>gender, created_at</t>
  </si>
  <si>
    <t>5</t>
  </si>
  <si>
    <t>What educational levels should the business owner focus more on, and from what country/countries?</t>
  </si>
  <si>
    <t>highest_level_of_education, nationality</t>
  </si>
  <si>
    <t>All 5</t>
  </si>
  <si>
    <t>Implicit: accurate customer counts underlie every KPI, since the metric itself is “Customer Acquisition data”.</t>
  </si>
  <si>
    <t>id, user_id (dedupe first)</t>
  </si>
  <si>
    <t>⚠ NEW FINDING FROM THIS COMPARISON</t>
  </si>
  <si>
    <t>IN-SCOPE FIX LIST — IN RECOMMENDED ORDER</t>
  </si>
  <si>
    <t>Order</t>
  </si>
  <si>
    <t>Issue #
(see Issues Log)</t>
  </si>
  <si>
    <t>Fix</t>
  </si>
  <si>
    <t>Serves KPI(s)</t>
  </si>
  <si>
    <t>Status</t>
  </si>
  <si>
    <t>20</t>
  </si>
  <si>
    <t>10 (supersedes 12)</t>
  </si>
  <si>
    <t>Fully deduplicate on user_id: group by user_id, sort by created_at ascending, keep first row per group. Removes 87 rows (4.0%) — this single step also removes the 14 exact-duplicate rows from Issue #12, so no separate action is needed for that one. After this, id and DISTINCT COUNT(user_id) agree, so no separate count-basis decision is needed either.</t>
  </si>
  <si>
    <t>Recode “Please select from list below” in heard_about_us to blank/Unknown.</t>
  </si>
  <si>
    <t>1, 2, 3</t>
  </si>
  <si>
    <t>Done</t>
  </si>
  <si>
    <t>6</t>
  </si>
  <si>
    <t>Recode blank age_range to an explicit “Not Provided” label.</t>
  </si>
  <si>
    <t>11</t>
  </si>
  <si>
    <t>Recode blank gender to an explicit “Not Provided” label; exclude from the male/female % calc.</t>
  </si>
  <si>
    <t>7</t>
  </si>
  <si>
    <t>Recode blank highest_level_of_education to an explicit “Not Provided” label.</t>
  </si>
  <si>
    <t>8</t>
  </si>
  <si>
    <t>Standardize “pHD (Doctorate Degree)” casing to match the Title Case pattern of every other category.</t>
  </si>
  <si>
    <t>9</t>
  </si>
  <si>
    <t>Recode Wales/Scotland → United Kingdom; rename “Gambia, The” → “Gambia”.</t>
  </si>
  <si>
    <t>3, 4, 5</t>
  </si>
  <si>
    <t>(Optional depth) Standardize referee casing and flag junk entries, only if a “top named referrers” view is wanted alongside the core KPI2 volume comparison.</t>
  </si>
  <si>
    <t>2 (optional)</t>
  </si>
  <si>
    <t>DEFERRED — OUT OF SCOPE FOR THIS TASK</t>
  </si>
  <si>
    <t>Issues #13–19 (target_income placeholder &amp; coded values, current_income_range placeholder &amp; free text, current_income_per_annum outliers, income-field schema-change nulls, currency normalization) are NOT required by any of the 5 KPIs and are deferred. They remain fully logged in the Issues Log tab for whenever an income-based task is assigned — no work is needed on them now.</t>
  </si>
  <si>
    <t>OPEN DECISION POINTS (not data errors — analysis design choices)</t>
  </si>
  <si>
    <t>• heard_about_us has both “YouTube”/“YouTube Ad” and “Google Search”/“Google Ad” as separate options across the full date range (not a schema-drift artifact). Decide whether to report organic vs. paid separately, or combine them, before finalizing the KPI1 top-4 list — either way Facebook Ad, Instagram Ad and Friend remain the top 3.</t>
  </si>
  <si>
    <t>• KPI2 (“is referral significant”) can be answered two ways: (a) heard_about_us = “Friend” as a share of total signups per year — no extra cleaning needed beyond the placeholder recode, or (b) a deeper view naming top individual referrers via the referee field, which needs the casing/junk cleanup (Issue #3/#4). Recommend leading with (a) and offering (b) as a bonus insight if time allows.</t>
  </si>
  <si>
    <t>Process Notes — Data Quality Audit Method</t>
  </si>
  <si>
    <t>Step</t>
  </si>
  <si>
    <t>Stage</t>
  </si>
  <si>
    <t>What I Did</t>
  </si>
  <si>
    <t>Tool(s) Used</t>
  </si>
  <si>
    <t>Why / What It Revealed</t>
  </si>
  <si>
    <t>Starting point</t>
  </si>
  <si>
    <t>Began with a first-pass manual review of the dataset — row/column counts, and a plain-language note on what looked off in each column, before touching any formula or query.</t>
  </si>
  <si>
    <t>Visual scan in Excel</t>
  </si>
  <si>
    <t>Cheap first step that surfaces the obvious issues (placeholder text, blank cells) immediately, and gives a baseline to check more rigorous methods against later.</t>
  </si>
  <si>
    <t>Structural validation</t>
  </si>
  <si>
    <t>Confirmed row count, column count, and data type per column rather than trusting the initial read. Checked whether the row identifier (id) matched the row count.</t>
  </si>
  <si>
    <t>Excel COUNTA(); Power Query → column profiling (Column Quality / Column Distribution / Column Profile views)</t>
  </si>
  <si>
    <t>Found that the last id (2170) does NOT equal the row count (2165) — 5 ids are missing. This is the single most important early lesson: a max ID is a record of history (inserts and deletes), not a live count.</t>
  </si>
  <si>
    <t>Column-by-column profiling</t>
  </si>
  <si>
    <t>For every column, generated a full value-count breakdown, not just a spot check — looking specifically for: placeholder/default values disguised as answers, casing inconsistencies, and category labels that don't match their siblings.</t>
  </si>
  <si>
    <t>Excel PivotTables (Count of values by category); Power Query → Column Distribution</t>
  </si>
  <si>
    <t>This is where most of the issues surfaced: 'Please select from list below' and '--Select Target Income--' sitting in the data as if they were real answers; casing drift ('pHD' vs every other Title Case label); UK constituent countries mixed in with sovereign nations in nationality.</t>
  </si>
  <si>
    <t>Cross-field / structural checks</t>
  </si>
  <si>
    <t>Checked relationships BETWEEN columns and rows, not just within a single column: whether user_id was actually unique, whether any full rows were exact duplicates of each other, and whether missing values clustered against a third variable (time).</t>
  </si>
  <si>
    <t>Excel COUNTIF / helper columns for duplicate flags; Power Query → Group By (to count repeats); sorting by created_at to inspect clustering</t>
  </si>
  <si>
    <t>Two of the most useful findings in the whole audit came from this step: (1) 87 duplicate user_id values covering 160 rows — not a formatting issue but a modelling one (user_id ≠ row key); (2) all three income fields are null for every row before 2023-11-08 exactly — a form/schema change over time, not random missing data.</t>
  </si>
  <si>
    <t>Root-cause classification</t>
  </si>
  <si>
    <t>For every issue found, asked 'why did this happen' rather than stopping at 'what is wrong'. Grouped issues into causes rather than treating each as an isolated one-off.</t>
  </si>
  <si>
    <t>No specific tool — analytical step, documented directly into the Issues Log</t>
  </si>
  <si>
    <t>Nearly everything traced back to two causes: (a) unvalidated free-text / optional-dropdown fields at the point of entry, and (b) the sign-up form evolving over time without a changelog surviving into the export. Naming the root cause changes the fix — e.g. the income-field nulls get EXCLUDED with a footnote, not imputed, because the cause is 'not yet collected', not 'lost'.</t>
  </si>
  <si>
    <t>Documentation</t>
  </si>
  <si>
    <t>Logged every issue with: affected column(s), a plain description, exact row count affected, magnitude as a % of the dataset, whether it's solvable outright or only flaggable, and the specific Excel/Power BI fix.</t>
  </si>
  <si>
    <t>Excel (this workbook — Issues Log tab)</t>
  </si>
  <si>
    <t>KPI-driven scoping</t>
  </si>
  <si>
    <t>Once the actual task brief (5 KPIs, Customer Acquisition metric, 2023–2025 reporting cycle) arrived, went back through the full Issues Log and mapped every issue to the specific KPI(s) it affects, rather than assuming every logged issue needs fixing before analysis can start.</t>
  </si>
  <si>
    <t>Manual cross-reference against the Issues Log (documented in the KPI Scope &amp; Priority tab)</t>
  </si>
  <si>
    <t>This cut the active to-do list from 19 issues to roughly 10, because none of the 5 KPIs touch the income fields at all — the hardest problems (coded target_income values, free-text current_income_range parsing, currency normalization) can be fully deferred rather than solved. It also surfaced a brand-new issue that pure column profiling never would have: the data's date range (to 2026-04) runs past the brief's stated 2023–2025 reporting cycle, which only became visible by reading the task brief side-by-side with the data.</t>
  </si>
  <si>
    <t>Next stage (not yet performed)</t>
  </si>
  <si>
    <t>Apply only the in-scope fixes from the KPI Scope &amp; Priority tab inside Power Query, in the documented order, then build the Power BI data model on the cleaned output.</t>
  </si>
  <si>
    <t>Power Query (planned); Power BI</t>
  </si>
  <si>
    <t>Keeping the fix order documented (date-scope filter → duplicate removal → customer-count basis → placeholder recoding → category standardization) matters because several fixes depend on earlier ones — e.g. deduplicating rows before deciding on a customer-count basis, and filtering to 2023–2025 before any trend or percentage calculation, or the KPI numbers would be wrong before the first chart is even built.</t>
  </si>
  <si>
    <t>Applying the in-scope fixes (in progress)</t>
  </si>
  <si>
    <t>Began executing the ordered fix list from the KPI Scope &amp; Priority tab. First fix applied: investigated the user_id duplicate pattern in full — confirmed all 69 remaining duplicate groups (after the exact-duplicate cleanup) are clustered within 11 minutes or less with identical demographic/channel data, meaning every repeat is a same-session resubmission, not a genuine returning customer. This also surfaced an error in the original Issue #10 write-up (it said 87 distinct user_id values were duplicated; the correct figure is 73 — 87 is the count of extra rows beyond each group's first occurrence, not the group count). Corrected the Issues Log and merged the Issue #12 fix into Issue #10's resolution, since one full user_id dedup step now covers both.</t>
  </si>
  <si>
    <t>Manual investigation (grouping + timestamp-gap check); direct edits to the Issues Log and KPI Scope &amp; Priority tabs</t>
  </si>
  <si>
    <t>Two lessons: (1) a hedge in a log entry ("separately investigate whether repeats are genuine") is an open task, not a finding — it needs to be closed out with an actual answer before the log can be trusted; (2) even a careful audit can contain an arithmetic slip (group count vs. extra-row count) — worth re-deriving a number from scratch before publishing it, not just trusting an earlier pass. From this point on, further process steps are logged here as they happen, for a final compilation pass once the KPI cleanup is complete.</t>
  </si>
  <si>
    <t>Branching before applying the fix</t>
  </si>
  <si>
    <t>Manual file duplication (Excel); no new formulas or tools</t>
  </si>
  <si>
    <t>Sending an inquiry doesn't have to mean stalling. Branching lets the analysis keep moving on the best-evidence assumption while leaving a clean, untouched copy to fall back to if the owner's answer contradicts it. Worth naming the two copies clearly (e.g. a suffix noting which is provisional and which is baseline) so it's obvious later which one reflects confirmed information.</t>
  </si>
  <si>
    <t>KPI2 chart expanded; final narrative notes drafted for KPI1 and KPI2</t>
  </si>
  <si>
    <t>Expanded the KPI2 line chart from Friend-only to all top 4 channels (Facebook Ad, Instagram Ad, Friend, YouTube), using a dynamic Channel % of Total DAX measure (COUNTROWS + CALCULATE/ALL + DIVIDE) instead of writing separate hardcoded measures per channel. Verified against predicted values: Friend 27.9/12.0/24.5%, Facebook Ad 22.5/39.3/17.9%, Instagram Ad 20.1/20.4/29.3%, YouTube 8.2/9.9/2.6% across 2023/2024/2025. This surfaced a useful cross-KPI reinforcement: Friend actually led ALL FOUR channels in 2023, not just Facebook Ad — visible directly on the KPI2 chart now, not just inferred from KPI1. Drafted final paste-ready narrative notes for both KPI1 and KPI2 based on this fuller picture.</t>
  </si>
  <si>
    <t>Power BI dynamic DAX measure; Line Chart with Legend and Top N filter</t>
  </si>
  <si>
    <t>FINAL KPI1 NOTE: Facebook Ad, Instagram Ad, Friend, and YouTube are the top 4 channels by signup volume across 2023-2025. Friend actually led all channels in 2023; Facebook Ad and Instagram Ad only overtook it once paid ad spend scaled up in 2024. YouTube remained smallest of the four throughout.
FINAL KPI2 NOTE: Referral (Friend) is a significant acquisition channel — 3rd largest of 10 overall, 17.55% of all signups across 3 years. Share fluctuated (27.9% / 12.0% / 24.5%) but the 2024 dip reflects the paid-ad surge that year, not weaker referral — Friend led every other channel, including both paid ad platforms, in 2023. Word-of-mouth is a genuine, non-trivial acquisition driver, not a marginal one.</t>
  </si>
  <si>
    <t>OPEN ITEMS FLAGGED FOR LATER DISCUSSION</t>
  </si>
  <si>
    <t>1. KPI4 wording — "male grew, female mostly dipped" is only true for the % SHARE (66.2% -&gt; 67.2% male over 3 years). It's false for raw counts, which spiked in 2024 and crashed in 2025 for both genders in near-identical proportion, tracking overall traffic rather than a real gender-specific trend. Decide exact wording before the final write-up so "growth" isn't misread.</t>
  </si>
  <si>
    <t>2. KPI5 framing — Nigeria dominates almost every cut of this dataset (88.6% overall), so reporting "Nigeria" alone as the answer to "what country" understates the finding. The real insight is pairing country WITH education level (First Degree Only and Masters Degree specifically, 91.3% and 85.8% Nigeria within those two groups) rather than country on its own.</t>
  </si>
  <si>
    <t>3. [RESOLVED — see Step 25] KPI3 matrix vs. bar chart — this was a self-correction, not a real data paradox: the original aggregate finding (18-24, 45-49) had inconsistently excluded 50-54 from the "substantial" brackets. Corrected: 50-54 is the true weakest substantial bracket overall, matching the matrix for 3 of 4 top channels. YouTube (weakest at 45-49) is the one genuine channel-specific exception, and that's the finding to present.</t>
  </si>
  <si>
    <t>KEY THEMES FOR THE WRITE-UP</t>
  </si>
  <si>
    <t>• A row count is not a fact until you check it.</t>
  </si>
  <si>
    <t xml:space="preserve">   The dataset's own metadata (id up to 2170) looked like a row count and wasn't. Always verify with COUNTA/len(), never infer from a key's max value.</t>
  </si>
  <si>
    <t>• A populated cell is not the same as a useful answer.</t>
  </si>
  <si>
    <t xml:space="preserve">   Placeholder dropdown text ('Please select...', '--Select Target Income--') and default values ('0' in current_income_range) all count as 'not null' but carry zero information — profiling by null-count alone would have missed most of this.</t>
  </si>
  <si>
    <t>• Missingness can have a mechanism — find it before you fix it.</t>
  </si>
  <si>
    <t xml:space="preserve">   The income fields weren't randomly missing; they were introduced to the form on a specific date. That reclassifies the fix from 'impute' to 'exclude with a footnote' — a materially different (and more honest) decision.</t>
  </si>
  <si>
    <t>• An identifier is only a key if it's unique — check, don't assume.</t>
  </si>
  <si>
    <t xml:space="preserve">   user_id looked like it should identify a person uniquely; it didn't. Every foreign-key-shaped column deserves a duplicate check before it's used in a COUNT.</t>
  </si>
  <si>
    <t>• Free-text fields will always be the messiest, by design.</t>
  </si>
  <si>
    <t xml:space="preserve">   referee and current_income_range show the same pattern: whenever a field lets people type anything, expect casing drift, placeholder junk, and inconsistent formats — and plan the cleaning step for it up front rather than reactively.</t>
  </si>
  <si>
    <t>• Clean to the brief, not to the dataset.</t>
  </si>
  <si>
    <t xml:space="preserve">   A full data-quality audit and a cleaning to-do list are two different documents. Once the actual KPIs were known, over half the logged issues (all of the income-field problems) turned out to need zero work — the discipline is knowing the difference between 'this is wrong' and 'this is wrong AND in scope', and re-checking scope every time a real brief arrives.</t>
  </si>
  <si>
    <t>•  Issues Log — every data-quality issue found, with row counts, magnitude, whether it's fixable, and the recommended Excel / Power BI fix.</t>
  </si>
  <si>
    <t>Inconsistent capitalization: 11 rows ALL CAPS, 17 rows all lowercase, 16 rows mixed/irregular.</t>
  </si>
  <si>
    <t>Double-space typo inside one entry.</t>
  </si>
  <si>
    <t>KPI Scope &amp; Priority</t>
  </si>
  <si>
    <t>Purpose: map the 5 assigned KPIs against the Issues Log so cleaning effort is limited to what these KPIs actually require. Source: Instructions &amp; KPI brief ( August 2026).</t>
  </si>
  <si>
    <t>The brief's reporting cycle is 2023–2025, but the dataset runs to 2026-04-06 — 139 rows (6.4%) fall in a partial, out-of-brief 2026. These rows must be filtered out of every KPI calculation, not just ignored informally — logged as Issue #20 in the Issues Log tab. Recommend confirming the exclusion with Stake Holders before finalizing, per the brief's own Enquiry note.</t>
  </si>
  <si>
    <t>Written as a running log during the audit, for later use in a published write-up. Primary tools: Excel &amp; Power BI.</t>
  </si>
  <si>
    <t>Matches the same Issues Log format used from previousreport project, for consistency across published work — even though this is a separate, unrelated dataset. Magnitude is a live formula (Row Count / Total Rows), not a hardcoded percentage, so the log recalculates if the source file is refreshed.</t>
  </si>
  <si>
    <t>Sent the user_id inquiry to the dataset owner to confirm whether repeat user_id submissions are ever legitimate, or should always be treated as accidental resubmissions. Rather than waiting on that reply before making progress, duplicated the working file into two copies: one continues immediately with the recommended fix (full user_id dedup, keep earliest row), the other is held unchanged as a baseline until the owner responds.</t>
  </si>
  <si>
    <t>Fix executed and verified</t>
  </si>
  <si>
    <t>Applied the user_id dedup in Power Query on the working copy: sorted by created_at ascending, grouped by user_id keeping All Rows, extracted the first row of each group, expanded back to a flat table. Result: 2,078 rows, down from 2,165 — a drop of exactly 87, matching the predicted figure before the fix was run.</t>
  </si>
  <si>
    <t>Excel (Power Query — Data tab → Get &amp; Transform Data)</t>
  </si>
  <si>
    <t>The row-count match (2,078, predicted in advance) is the actual confirmation the fix worked as intended, not just that a query ran without erroring. id and DISTINCT COUNT(user_id) should now agree on this working copy — worth a quick spot check before treating the numbers as final, and before repeating this same fix on any other copy of the file.</t>
  </si>
  <si>
    <t>Verification closed out</t>
  </si>
  <si>
    <t>Confirmed the dedup fix with independent structured-table formulas: =COUNT(UNIQUE(Table2_User_id_update_PQ[id])) and the same for [user_id], both referencing the table by name rather than a manual cell range (avoiding a stale-range false alarm hit earlier, where UNIQUE() briefly returned 2080 due to a fixed range extending past the refreshed table). Both formulas returned 2078, matching row count exactly.</t>
  </si>
  <si>
    <t>Excel formulas: COUNT + UNIQUE with structured table references</t>
  </si>
  <si>
    <t>Remaining category/blank fixes completed</t>
  </si>
  <si>
    <t>Applied the rest of the in-scope fix list in one pass: heard_about_us placeholder recode (#2), age_range and gender and highest_level_of_education blank recodes (#6, #11, #7), the pHD casing fix (#8), the Wales/Scotland/Gambia nationality recode (#9), and the optional referee casing/junk cleanup (#3, #4, #5). Only #20 (the 2023–2025 date filter) remains outstanding.</t>
  </si>
  <si>
    <t>Excel (Power Query replace-value and conditional-column steps, consistent with the methods documented in the Issues Log for each fix)</t>
  </si>
  <si>
    <t>Batching similar low-risk recodes (placeholder → blank, casing standardization) together was efficient once the user_id fix proved the working-copy approach was sound. Worth a light spot-check across these — e.g. confirming heard_about_us and age_range value counts no longer show the old placeholder/blank patterns — before treating them as final, same discipline as was applied to the user_id verification.</t>
  </si>
  <si>
    <t>In-scope cleanup complete</t>
  </si>
  <si>
    <t>Filtered the working copy to created_at 2023–2025 in Power Query (Date Filters → Between), loaded as a query step so it re-applies on refresh. Row count landed at 1,943 — predicted in advance from the post-dedup data (135 rows in 2026 removed from the 2,078-row deduped copy, not the original 139 figure, since some 2026 rows had already been removed by the user_id dedup). Result matched exactly. This closes out the full in-scope fix list (9 of 9 items done).</t>
  </si>
  <si>
    <t>Excel (Power Query date filter)</t>
  </si>
  <si>
    <t>KPI1 built and verified</t>
  </si>
  <si>
    <t>Built KPI1 (top 4 channel trend) as a PivotTable on the cleaned 1,943-row working copy: heard_about_us in Rows filtered to Top 4 by count, year in Columns. Result matched the predicted figures exactly: Facebook Ad, Instagram Ad, Friend, YouTube as the top 4, with Friend actually leading in 2023 (129 vs Facebook Ad's 104) before Facebook Ad overtook from 2024.</t>
  </si>
  <si>
    <t>Excel PivotTable + line chart</t>
  </si>
  <si>
    <t>The 2023 finding (Friend led before paid channels overtook) is a genuinely useful narrative point, not just a number — worth carrying into KPI2 directly, since it's effectively the same underlying data viewed as a significance question rather than a ranking question.</t>
  </si>
  <si>
    <t>KPI2 built and verified</t>
  </si>
  <si>
    <t>Built KPI2 (referral significance) on the same working copy: Friend row counts matched exactly (129 / 145 / 67, 341 total). Confirmed the year-over-year % share (27.9% / 12.0% / 24.5%, each year's Friend count divided by that year's own total, not the 3-year total) tells a different story than the raw counts alone — 2024 looks like Friend's biggest year by volume but is actually its weakest by share, since total signups that year were far larger overall.</t>
  </si>
  <si>
    <t>Excel PivotTable with Grand Totals on, plus a simple division formula for the % share</t>
  </si>
  <si>
    <t>Raw counts and % share can point in different directions in the same data — worth deciding up front which one actually answers the business question (here, % share is the right one for "is referral significant", since raw count conflates two things: referral strength and overall traffic growth).</t>
  </si>
  <si>
    <t>KPI3 built and verified</t>
  </si>
  <si>
    <t>Built KPI3 (age range with low customer counts) on the working copy: counts matched the predicted distribution exactly. Flagged an interpretation choice before reporting the result — the technically-lowest brackets (55-59, 60-70) are trivially small and not actionable, so led instead with: 18-24 (213) and 45-49 (182) both sit at roughly half the volume of the 25-44 core cluster (334-372 each). [NOTE: this initial framing was later found to be inconsistent and corrected — see Step 25.]</t>
  </si>
  <si>
    <t>Excel PivotTable, sorted ascending by count</t>
  </si>
  <si>
    <t>Same lesson as the age-range chart: the technically smallest number and the most useful answer aren't always the same thing. Worth checking for this on every KPI with a natural long tail before reporting it as the finding — though see Step 25 for how this specific judgment call was later revisited.</t>
  </si>
  <si>
    <t>KPI4 built and verified</t>
  </si>
  <si>
    <t>Built KPI4 (male vs female annual comparison) on the working copy: year x gender pivot with Not Provided excluded from the % denominator, per Issue #11's documented treatment. Confirmed two distinct readings needed separating clearly: the % share drifted consistently toward male (66.2% to 67.2% over 3 years) while raw counts for both genders spiked in 2024 and crashed in 2025 in near-identical proportion — tracking overall traffic, not a real gender-specific trend. Flagged for a follow-up discussion on how to word this precisely in the final write-up, since "male grew" is true for share but misleading if read as raw numbers.</t>
  </si>
  <si>
    <t>Excel PivotTable with Grand Totals; manual % share and point-change formulas</t>
  </si>
  <si>
    <t>OPEN ITEM (flagged by user for later discussion): decide exact wording for the KPI4 finding in the final report so "growth" isn't misread as raw-count growth when it only holds for % share.</t>
  </si>
  <si>
    <t>KPI5 built and verified — all 5 KPIs complete</t>
  </si>
  <si>
    <t>Built KPI5 (education levels to focus on + country) on the working copy: counts matched the predicted distribution exactly. First Degree Only (826) and Masters Degree (674) together account for 77.2% of signups, and both are overwhelmingly Nigeria-dominated (91.3% and 85.8% respectively). Flagged before finalizing the phrasing: Nigeria dominates almost every cut of this dataset (88.6% overall), so reporting "Nigeria" alone understates the finding — the real insight is pairing country with education level, not country on its own. This closes out all 5 KPIs (KPI1-5), each built as an Excel PivotTable and verified against a number predicted in advance of building it.</t>
  </si>
  <si>
    <t>Excel PivotTable, filtered by education level to check nationality breakdown</t>
  </si>
  <si>
    <t>Power BI model built, KPI1 visual complete</t>
  </si>
  <si>
    <t>Rebuilt the full cleaning pipeline from scratch inside Power BI's own Power Query editor, importing the raw Business_Data.xlsx directly rather than depending on the Excel working copy staying in its cleaned state — a deliberate choice for a self-contained .pbix. All 9 steps run in sequence: sort by created_at, user_id dedup, 2023-2025 date filter, heard_about_us placeholder recode, three Not Provided blank fills, pHD casing fix, Wales/Scotland/Gambia nationality fix. Row count verified at 1,943, matching the Excel working copy exactly. Built the KPI1 visual (line chart, Year on X-axis, heard_about_us as legend filtered to Top 4 by count) and confirmed it against the already-verified Excel numbers.</t>
  </si>
  <si>
    <t>Power BI Desktop — Power Query editor, Line Chart visual with a Top N filter</t>
  </si>
  <si>
    <t>DECISION: chose to rebuild the cleaning steps natively in Power BI rather than importing the already-cleaned Excel table, so the .pbix doesn't silently break if the raw Excel file is later reopened and re-saved without the cleaning applied. Also confirmed empirically that dedup-then-filter and filter-then-dedup give the same 1,943 result for this specific dataset, so step order between those two wasn't a real risk here — but worth re-checking that assumption on any future refresh with new data, since it isn't guaranteed to hold in general.</t>
  </si>
  <si>
    <t>KPI2 visual built and verified in Power BI</t>
  </si>
  <si>
    <t>Built three DAX measures (Total Signups, Friend Signups, Friend %) and a Card + Line Chart pair. Card confirmed 17.55% overall (341/1,943) — more precise than the 17.6% rounded figure used earlier in the Excel build. Line chart traced the same 27.9% / 12.0% / 24.5% shape as the Excel version. Also worked through the general-purpose % of Total DAX pattern (CALCULATE with ALL() to strip the category filter, wrapped in DIVIDE) as a reusable measure, rather than hardcoding "Friend" — useful going forward for any other channel breakdowns.</t>
  </si>
  <si>
    <t>Power BI DAX measures (COUNTROWS, CALCULATE, ALL, DIVIDE); Card and Line Chart visuals</t>
  </si>
  <si>
    <t>Worth carrying the dynamic % of Total measure forward rather than the hardcoded Friend % version if any future visual needs to show every channel's share side by side — one reusable measure instead of one hardcoded measure per channel.</t>
  </si>
  <si>
    <t>KPI3 corrected — channel dimension added</t>
  </si>
  <si>
    <t>Caught a real gap before finalizing KPI3: the original Power BI bar chart (age_range alone) never actually incorporated heard_about_us, despite the KPI explicitly asking for the breakdown "from channels." Rebuilt with a Matrix (age_range x heard_about_us, top 4 channels, heatmap formatting) alongside the original bar chart rather than replacing it. The channel-specific answer differs from the aggregate one: 50-54 is the weakest substantial bracket for Facebook Ad, Instagram Ad, and Friend, while YouTube's weakest is 45-49 — not the 18-24/45-49 pair the aggregate bar chart shows. Both visuals kept side by side, since they answer related but different questions (overall shape vs. channel-level drill-down).</t>
  </si>
  <si>
    <t>Power BI Matrix visual with conditional formatting; kept alongside the existing Bar Chart</t>
  </si>
  <si>
    <t>Logged as open item #3 (see Open Items section below) — worth explaining explicitly why the two visuals disagree when presenting, rather than only showing one.</t>
  </si>
  <si>
    <t>KPI4 and KPI5 visuals complete in Power BI — all 5 KPIs now built in both tools</t>
  </si>
  <si>
    <t>KPI4 built as a 100% Stacked Column Chart (year x gender), with Not Provided filtered out of the visual to match Issue #11's documented denominator treatment — confirmed against the known 66.2/66.5/67.2% Male split. KPI5 built as a bar chart (education level ranking) plus a Matrix (top 5 countries x education level, heatmap formatted) to directly show the country-education pairing rather than reporting country alone. Both confirmed matching the Excel-verified figures. This completes all 5 KPIs in Power BI, mirroring the full set already verified in Excel.</t>
  </si>
  <si>
    <t>Power BI 100% Stacked Column Chart; Bar Chart; Matrix with conditional formatting</t>
  </si>
  <si>
    <t>Final Power BI report structure confirmed</t>
  </si>
  <si>
    <t>Settled on the final report layout: 5 individual KPI pages (KPI1: line chart; KPI2: card + matrix + line chart; KPI3: matrix + column chart; KPI4: matrix + 100% stacked bar; KPI5: matrix + pie chart, added after a bar chart didn't fit the summary-page slot) plus one Summary page pulling the headline visual from each (KPI2's card, KPI2's line chart, KPI1's line chart, KPI3's column chart, KPI4's 100% stacked bar, KPI5's pie chart). Button-based page navigation added both ways — from Summary to each KPI page, and back — confirmed working cleanly in both directions. Matrices deliberately kept off the Summary page and reserved for each KPI's own page, consistent with the bar/matrix split established during the KPI3 and KPI5 builds.</t>
  </si>
  <si>
    <t>Power BI report pages, copy-paste visuals across pages, Page Navigator buttons</t>
  </si>
  <si>
    <t>Deliberate design choice on the KPI5 pie chart: legibility at a glance is weaker than a bar chart would be (long tail of small categories — OND 2.8%, PhD 0.9%), but Focus mode resolves this during a live, interactive walkthrough, and the pie's built-in value+percentage labels were preferred over a bar chart's. Caveat worth remembering later: this trade-off only holds for a live/interactive presentation — if a static export (PDF, image, slide) is ever needed, Focus mode isn't available and the legibility problem returns, at which point a bar chart with data labels showing both value and % would be the safer choice.</t>
  </si>
  <si>
    <t>KPI3 open item resolved — self-correction found</t>
  </si>
  <si>
    <t>Revisited the KPI3 matrix-vs-bar-chart discrepancy and found the actual cause: an inconsistency in my own earlier analysis, not a real data paradox. The original "18-24 and 45-49" aggregate finding had quietly excluded 50-54 from consideration as part of the "trivial tail," without a consistent reason for drawing the line there rather than one bracket over. Re-ranked the full distribution (excluding only 55-59/60-70): 50-54 (91) is clearly the single weakest substantial bracket overall, not 45-49 (182) or 18-24 (213) as originally stated. Once corrected, the bar chart and matrix agree for 3 of 4 top channels (Facebook Ad, Instagram Ad, Friend all weakest at 50-54) — YouTube (weakest at 45-49) is the one genuine channel-specific exception, and that's the actual insight worth presenting, not a general disagreement between the two charts. Also computed the age distribution's skew (+0.295, mild right-skew, peak at 30-34) as supporting context: the thin older-age tail is an expected shape for this kind of audience, not an anomaly.</t>
  </si>
  <si>
    <t>Manual re-ranking of the pivot data; skewness calculation for context</t>
  </si>
  <si>
    <t>Closes Open Item #3. Lesson worth keeping: when two visuals built from the same data seem to disagree, check whether a threshold or exclusion was applied inconsistently between them before assuming the disagreement is real — that was the actual cause here, not a genuine per-channel-vs-aggregate paradox.</t>
  </si>
  <si>
    <t>Data-loss bug found and repaired</t>
  </si>
  <si>
    <t>User noticed the visible process log appeared to stop having real content after Step 10. Investigation confirmed Steps 11-26 had lost all content except their step number (columns B-E were blank), almost certainly caused by repeated incremental insert_rows() calls interacting badly with a merged-cell section (the Open Items block) inserted between them. Recovered the full original content for every affected step from the conversation history and did a complete, single-pass rebuild of this entire sheet rather than another incremental patch, to eliminate the risk of a repeat.</t>
  </si>
  <si>
    <t>openpyxl full-sheet rebuild (clear all cells, rewrite title/header/steps/Open Items/Key Themes in one script) rather than further insert_rows() calls</t>
  </si>
  <si>
    <t>Going forward, further additions to this log should each be done as a full-sheet rewrite rather than an incremental insert, since incremental inserts near a merged-cell region have now caused actual data loss once already — not worth risking again for the sake of a smaller diff per edit.</t>
  </si>
  <si>
    <t>KPI4 and KPI5 wording locked in — all open items closed</t>
  </si>
  <si>
    <t>User confirmed the drafted wording for both remaining open items. KPI4: lead with the % share finding (66.2% to 67.2% male, a steady ~1-point drift), explicitly noting raw counts for both genders moved together with overall traffic rather than reflecting a real gender-specific trend. KPI5: never state the Nigeria finding standalone — always pair it with the education-level finding (First Degree Only and Masters Degree, 91.3% and 85.8% Nigeria within those two groups respectively). All three open items (KPI3, KPI4, KPI5) are now resolved; none remain open.</t>
  </si>
  <si>
    <t>No new tool — confirmation of previously drafted language</t>
  </si>
  <si>
    <t>Filter the working dataset to created_at year in {2023, 2024, 2025} before calculating any KPI. Confirm with Data owner (per the brief's Enquiry contact) whether 2026 rows should be excluded entirely or reserved for a later cycle — don't silently drop them without a documented reason.</t>
  </si>
  <si>
    <t>Filter dataset to created_at year 2023–2025 (confirm 2026 exclusion with Data owner first).</t>
  </si>
  <si>
    <t>Done — verified 1,943 rows on working copy (confirmed and approved)</t>
  </si>
  <si>
    <t>Done — verified 2,078 = 2,078 on working copy (confirmed and approved)</t>
  </si>
  <si>
    <t>Fully deduplicate on user_id: group by user_id, sort by created_at ascending, keep only the first row per group. This removes 87 rows (4.0% of the dataset) and supersedes the separate Issue #12 fix (fold the two into one step). After this, id (row count) and DISTINCT COUNT(user_id) are equivalent, so no separate distinct-count logic is needed — use plain row counts for all 5 KPIs going forward. STATUS: Applied provisionally in a working copy pending confirmation from the data owner — a separate baseline copy is held unchanged in case the answer changes this.</t>
  </si>
  <si>
    <t>Issue #10 is now fully closed on the working copy: id and DISTINCT COUNT(user_id) agree, so plain row counts are safe to use for all 5 KPIs going forward — no separate distinct-count logic needed. Still provisional pending data owner's reply on whether repeat submissions are ever legitimate; the baseline copy remains available if that answer changes the approach.</t>
  </si>
  <si>
    <t>Every fix in this pass was verified against a number predicted before running it, not just checked after the fact — the same discipline carried through from the user_id fix to this one. The working copy is now fully cleaned for KPI calculation, still marked provisional pending data owner's answer on the user_id question. Next stage: calculate the 5 KPIs against this cleaned working copy and build the Power BI model.</t>
  </si>
  <si>
    <t>With cleaning (9/9 fixes) and all 5 KPIs now complete and verified, the natural next stages are: (1) modeling these same pivots in Power BI, and (2) building the presentation deck — both still provisional pending data owner's reply on the user_id question. Two wording notes carried forward to the presentation stage: the KPI4 share-vs-raw-count distinction and this KPI5 country-vs-education framing.</t>
  </si>
  <si>
    <t>With cleaning, all 5 KPIs in Excel, and all 5 KPIs in Power BI now complete, remaining work is the presentation deck plus the three open items already logged. Both the Excel and Power BI builds remain provisional pending data owner's reply on the user_id question.</t>
  </si>
  <si>
    <t>This closes out the documentation phase in full: Excel (9/9 fixes, 5/5 KPIs), Power BI (self-contained model, 5/5 KPIs, Summary page with navigation), and Process Notes (28 steps, zero open items) are all complete. Only remaining external dependency was the data owner's approval, which has sicne been 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</si>
</sst>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charset val="1"/>
    </font>
    <font>
      <b/>
      <sz val="20"/>
      <color rgb="FFFFFFFF"/>
      <name val="Cambria"/>
      <family val="1"/>
    </font>
    <font>
      <i/>
      <sz val="10.5"/>
      <color rgb="FF5B6B76"/>
      <name val="Calibri"/>
      <family val="2"/>
    </font>
    <font>
      <b/>
      <sz val="11"/>
      <color rgb="FF1C7293"/>
      <name val="Calibri"/>
      <family val="2"/>
    </font>
    <font>
      <b/>
      <sz val="10.5"/>
      <color rgb="FFFFFFFF"/>
      <name val="Calibri"/>
      <family val="2"/>
    </font>
    <font>
      <b/>
      <sz val="10.5"/>
      <name val="Calibri"/>
      <family val="2"/>
    </font>
    <font>
      <sz val="10.5"/>
      <name val="Calibri"/>
      <family val="2"/>
    </font>
    <font>
      <i/>
      <sz val="9.5"/>
      <color rgb="FF5B6B76"/>
      <name val="Calibri"/>
      <family val="2"/>
    </font>
    <font>
      <b/>
      <sz val="16"/>
      <color rgb="FFFFFFFF"/>
      <name val="Cambria"/>
      <family val="1"/>
    </font>
    <font>
      <b/>
      <sz val="10"/>
      <name val="Calibri"/>
      <family val="2"/>
    </font>
    <font>
      <b/>
      <sz val="10"/>
      <color rgb="FFC97F1E"/>
      <name val="Calibri"/>
      <family val="2"/>
    </font>
    <font>
      <i/>
      <sz val="9"/>
      <color rgb="FF5B6B76"/>
      <name val="Calibri"/>
      <family val="2"/>
    </font>
    <font>
      <b/>
      <sz val="9.5"/>
      <color rgb="FF0B3350"/>
      <name val="Calibri"/>
      <family val="2"/>
    </font>
    <font>
      <sz val="9.5"/>
      <name val="Calibri"/>
      <family val="2"/>
    </font>
    <font>
      <b/>
      <sz val="9.5"/>
      <name val="Calibri"/>
      <family val="2"/>
    </font>
    <font>
      <i/>
      <sz val="9.5"/>
      <name val="Calibri"/>
      <family val="2"/>
    </font>
    <font>
      <b/>
      <sz val="9.5"/>
      <color rgb="FF8A97A0"/>
      <name val="Calibri"/>
      <family val="2"/>
    </font>
    <font>
      <b/>
      <sz val="9.5"/>
      <color rgb="FF8A2E22"/>
      <name val="Calibri"/>
      <family val="2"/>
    </font>
    <font>
      <i/>
      <sz val="10"/>
      <color rgb="FF5B6B76"/>
      <name val="Calibri"/>
      <family val="2"/>
    </font>
    <font>
      <sz val="10"/>
      <name val="Calibri"/>
      <family val="2"/>
    </font>
    <font>
      <b/>
      <sz val="10"/>
      <color rgb="FF0B3350"/>
      <name val="Calibri"/>
      <family val="2"/>
    </font>
    <font>
      <i/>
      <sz val="10"/>
      <name val="Calibri"/>
      <family val="2"/>
    </font>
    <font>
      <b/>
      <sz val="11"/>
      <color rgb="FF8A2E22"/>
      <name val="Calibri"/>
      <family val="2"/>
    </font>
    <font>
      <b/>
      <sz val="9.5"/>
      <color rgb="FF1E5C36"/>
      <name val="Calibri"/>
      <family val="2"/>
    </font>
    <font>
      <b/>
      <sz val="11"/>
      <color rgb="FF5B6B76"/>
      <name val="Calibri"/>
      <family val="2"/>
    </font>
    <font>
      <i/>
      <sz val="10.5"/>
      <name val="Calibri"/>
      <family val="2"/>
    </font>
    <font>
      <b/>
      <sz val="11"/>
      <color rgb="FF0B3350"/>
      <name val="Calibri"/>
      <family val="2"/>
    </font>
  </fonts>
  <fills count="12">
    <fill>
      <patternFill patternType="none"/>
    </fill>
    <fill>
      <patternFill patternType="gray125"/>
    </fill>
    <fill>
      <patternFill patternType="solid">
        <fgColor rgb="FF0B3350"/>
        <bgColor rgb="FF003300"/>
      </patternFill>
    </fill>
    <fill>
      <patternFill patternType="solid">
        <fgColor rgb="FF1C7293"/>
        <bgColor rgb="FF008080"/>
      </patternFill>
    </fill>
    <fill>
      <patternFill patternType="solid">
        <fgColor rgb="FFF4F7F9"/>
        <bgColor rgb="FFF1F1F1"/>
      </patternFill>
    </fill>
    <fill>
      <patternFill patternType="solid">
        <fgColor rgb="FFFFFFFF"/>
        <bgColor rgb="FFF4F7F9"/>
      </patternFill>
    </fill>
    <fill>
      <patternFill patternType="solid">
        <fgColor rgb="FFEAF5EE"/>
        <bgColor rgb="FFF1F1F1"/>
      </patternFill>
    </fill>
    <fill>
      <patternFill patternType="solid">
        <fgColor rgb="FFF1F1F1"/>
        <bgColor rgb="FFEAF5EE"/>
      </patternFill>
    </fill>
    <fill>
      <patternFill patternType="solid">
        <fgColor rgb="FFFDF3E3"/>
        <bgColor rgb="FFFBEAEA"/>
      </patternFill>
    </fill>
    <fill>
      <patternFill patternType="solid">
        <fgColor rgb="FFE9ECEE"/>
        <bgColor rgb="FFF1F1F1"/>
      </patternFill>
    </fill>
    <fill>
      <patternFill patternType="solid">
        <fgColor rgb="FFF9D9D6"/>
        <bgColor rgb="FFFBEAEA"/>
      </patternFill>
    </fill>
    <fill>
      <patternFill patternType="solid">
        <fgColor rgb="FFFBEAEA"/>
        <bgColor rgb="FFFDF3E3"/>
      </patternFill>
    </fill>
  </fills>
  <borders count="2">
    <border>
      <left/>
      <right/>
      <top/>
      <bottom/>
      <diagonal/>
    </border>
    <border>
      <left style="thin">
        <color rgb="FFD9E2E6"/>
      </left>
      <right style="thin">
        <color rgb="FFD9E2E6"/>
      </right>
      <top style="thin">
        <color rgb="FFD9E2E6"/>
      </top>
      <bottom style="thin">
        <color rgb="FFD9E2E6"/>
      </bottom>
      <diagonal/>
    </border>
  </borders>
  <cellStyleXfs count="1">
    <xf numFmtId="0" fontId="0" fillId="0" borderId="0"/>
  </cellStyleXfs>
  <cellXfs count="67">
    <xf numFmtId="0" fontId="0" fillId="0" borderId="0" xfId="0"/>
    <xf numFmtId="0" fontId="19" fillId="0" borderId="0" xfId="0" applyFont="1"/>
    <xf numFmtId="0" fontId="18" fillId="0" borderId="0" xfId="0" applyFont="1"/>
    <xf numFmtId="0" fontId="8" fillId="2" borderId="0" xfId="0" applyFont="1" applyFill="1"/>
    <xf numFmtId="0" fontId="3" fillId="0" borderId="0" xfId="0" applyFont="1"/>
    <xf numFmtId="0" fontId="4" fillId="3" borderId="1" xfId="0" applyFont="1" applyFill="1" applyBorder="1" applyAlignment="1">
      <alignment horizontal="left" vertical="center" wrapText="1"/>
    </xf>
    <xf numFmtId="0" fontId="5" fillId="4" borderId="1" xfId="0" applyFont="1" applyFill="1" applyBorder="1" applyAlignment="1">
      <alignment vertical="center" wrapText="1"/>
    </xf>
    <xf numFmtId="0" fontId="6" fillId="4" borderId="1" xfId="0" applyFont="1" applyFill="1" applyBorder="1" applyAlignment="1">
      <alignment vertical="center" wrapText="1"/>
    </xf>
    <xf numFmtId="0" fontId="7" fillId="4" borderId="1" xfId="0" applyFont="1" applyFill="1" applyBorder="1" applyAlignment="1">
      <alignment vertical="center" wrapText="1"/>
    </xf>
    <xf numFmtId="0" fontId="5" fillId="5" borderId="1" xfId="0" applyFont="1" applyFill="1" applyBorder="1" applyAlignment="1">
      <alignment vertical="center" wrapText="1"/>
    </xf>
    <xf numFmtId="0" fontId="6" fillId="5" borderId="1" xfId="0" applyFont="1" applyFill="1" applyBorder="1" applyAlignment="1">
      <alignment vertical="center" wrapText="1"/>
    </xf>
    <xf numFmtId="0" fontId="7" fillId="5" borderId="1" xfId="0" applyFont="1" applyFill="1" applyBorder="1" applyAlignment="1">
      <alignment vertical="center" wrapText="1"/>
    </xf>
    <xf numFmtId="0" fontId="9" fillId="0" borderId="0" xfId="0" applyFont="1"/>
    <xf numFmtId="0" fontId="10" fillId="0" borderId="0" xfId="0" applyFont="1"/>
    <xf numFmtId="0" fontId="11" fillId="0" borderId="0" xfId="0" applyFont="1"/>
    <xf numFmtId="0" fontId="4" fillId="2" borderId="1" xfId="0" applyFont="1" applyFill="1" applyBorder="1" applyAlignment="1">
      <alignment horizontal="left" vertical="center" wrapText="1"/>
    </xf>
    <xf numFmtId="0" fontId="12" fillId="5" borderId="1" xfId="0" applyFont="1" applyFill="1" applyBorder="1" applyAlignment="1">
      <alignment horizontal="center" vertical="top" wrapText="1"/>
    </xf>
    <xf numFmtId="0" fontId="13" fillId="5" borderId="1" xfId="0" applyFont="1" applyFill="1" applyBorder="1" applyAlignment="1">
      <alignment horizontal="left" vertical="top" wrapText="1"/>
    </xf>
    <xf numFmtId="0" fontId="13" fillId="5" borderId="1" xfId="0" applyFont="1" applyFill="1" applyBorder="1" applyAlignment="1">
      <alignment horizontal="center" vertical="top" wrapText="1"/>
    </xf>
    <xf numFmtId="164" fontId="13" fillId="5" borderId="1" xfId="0" applyNumberFormat="1" applyFont="1" applyFill="1" applyBorder="1" applyAlignment="1">
      <alignment horizontal="center" vertical="top" wrapText="1"/>
    </xf>
    <xf numFmtId="0" fontId="14" fillId="6" borderId="1" xfId="0" applyFont="1" applyFill="1" applyBorder="1" applyAlignment="1">
      <alignment horizontal="center" vertical="top" wrapText="1"/>
    </xf>
    <xf numFmtId="0" fontId="16" fillId="7" borderId="1" xfId="0" applyFont="1" applyFill="1" applyBorder="1" applyAlignment="1">
      <alignment horizontal="left" vertical="top" wrapText="1"/>
    </xf>
    <xf numFmtId="0" fontId="12" fillId="4" borderId="1" xfId="0" applyFont="1" applyFill="1" applyBorder="1" applyAlignment="1">
      <alignment horizontal="center" vertical="top" wrapText="1"/>
    </xf>
    <xf numFmtId="0" fontId="13" fillId="4" borderId="1" xfId="0" applyFont="1" applyFill="1" applyBorder="1" applyAlignment="1">
      <alignment horizontal="left" vertical="top" wrapText="1"/>
    </xf>
    <xf numFmtId="0" fontId="13" fillId="4" borderId="1" xfId="0" applyFont="1" applyFill="1" applyBorder="1" applyAlignment="1">
      <alignment horizontal="center" vertical="top" wrapText="1"/>
    </xf>
    <xf numFmtId="164" fontId="13" fillId="4" borderId="1" xfId="0" applyNumberFormat="1" applyFont="1" applyFill="1" applyBorder="1" applyAlignment="1">
      <alignment horizontal="center" vertical="top" wrapText="1"/>
    </xf>
    <xf numFmtId="0" fontId="12" fillId="6"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4" fillId="8" borderId="1" xfId="0" applyFont="1" applyFill="1" applyBorder="1" applyAlignment="1">
      <alignment horizontal="center" vertical="top" wrapText="1"/>
    </xf>
    <xf numFmtId="0" fontId="16" fillId="9" borderId="1" xfId="0" applyFont="1" applyFill="1" applyBorder="1" applyAlignment="1">
      <alignment horizontal="left" vertical="top" wrapText="1"/>
    </xf>
    <xf numFmtId="0" fontId="17" fillId="10" borderId="1" xfId="0" applyFont="1" applyFill="1" applyBorder="1" applyAlignment="1">
      <alignment horizontal="left" vertical="top" wrapText="1"/>
    </xf>
    <xf numFmtId="0" fontId="14" fillId="0" borderId="0" xfId="0" applyFont="1"/>
    <xf numFmtId="0" fontId="14" fillId="6" borderId="0" xfId="0" applyFont="1" applyFill="1" applyAlignment="1">
      <alignment horizontal="center"/>
    </xf>
    <xf numFmtId="0" fontId="15" fillId="0" borderId="0" xfId="0" applyFont="1"/>
    <xf numFmtId="0" fontId="14" fillId="8" borderId="0" xfId="0" applyFont="1" applyFill="1" applyAlignment="1">
      <alignment horizontal="center"/>
    </xf>
    <xf numFmtId="0" fontId="14" fillId="11" borderId="0" xfId="0" applyFont="1" applyFill="1" applyAlignment="1">
      <alignment horizontal="center"/>
    </xf>
    <xf numFmtId="0" fontId="9" fillId="5" borderId="1" xfId="0" applyFont="1" applyFill="1" applyBorder="1" applyAlignment="1">
      <alignment vertical="center"/>
    </xf>
    <xf numFmtId="0" fontId="9" fillId="4" borderId="1" xfId="0" applyFont="1" applyFill="1" applyBorder="1" applyAlignment="1">
      <alignment vertical="center"/>
    </xf>
    <xf numFmtId="0" fontId="20" fillId="5" borderId="1" xfId="0" applyFont="1" applyFill="1" applyBorder="1" applyAlignment="1">
      <alignment horizontal="center" vertical="top" wrapText="1"/>
    </xf>
    <xf numFmtId="0" fontId="19" fillId="5" borderId="1" xfId="0" applyFont="1" applyFill="1" applyBorder="1" applyAlignment="1">
      <alignment horizontal="left" vertical="top" wrapText="1"/>
    </xf>
    <xf numFmtId="0" fontId="19" fillId="5" borderId="1" xfId="0" applyFont="1" applyFill="1" applyBorder="1" applyAlignment="1">
      <alignment horizontal="center" vertical="top" wrapText="1"/>
    </xf>
    <xf numFmtId="0" fontId="20" fillId="4" borderId="1" xfId="0" applyFont="1" applyFill="1" applyBorder="1" applyAlignment="1">
      <alignment horizontal="center" vertical="top" wrapText="1"/>
    </xf>
    <xf numFmtId="0" fontId="19" fillId="4" borderId="1" xfId="0" applyFont="1" applyFill="1" applyBorder="1" applyAlignment="1">
      <alignment horizontal="left" vertical="top" wrapText="1"/>
    </xf>
    <xf numFmtId="0" fontId="19" fillId="4" borderId="1" xfId="0" applyFont="1" applyFill="1" applyBorder="1" applyAlignment="1">
      <alignment horizontal="center" vertical="top" wrapText="1"/>
    </xf>
    <xf numFmtId="0" fontId="20" fillId="8" borderId="1" xfId="0" applyFont="1" applyFill="1" applyBorder="1" applyAlignment="1">
      <alignment horizontal="center" vertical="top" wrapText="1"/>
    </xf>
    <xf numFmtId="0" fontId="21" fillId="8" borderId="1" xfId="0" applyFont="1" applyFill="1" applyBorder="1" applyAlignment="1">
      <alignment horizontal="left" vertical="top" wrapText="1"/>
    </xf>
    <xf numFmtId="0" fontId="21" fillId="8" borderId="1" xfId="0" applyFont="1" applyFill="1" applyBorder="1" applyAlignment="1">
      <alignment horizontal="center" vertical="top" wrapText="1"/>
    </xf>
    <xf numFmtId="0" fontId="22" fillId="0" borderId="0" xfId="0" applyFont="1"/>
    <xf numFmtId="0" fontId="9" fillId="5" borderId="1" xfId="0" applyFont="1" applyFill="1" applyBorder="1" applyAlignment="1">
      <alignment horizontal="center" vertical="top" wrapText="1"/>
    </xf>
    <xf numFmtId="0" fontId="23" fillId="6" borderId="1" xfId="0" applyFont="1" applyFill="1" applyBorder="1" applyAlignment="1">
      <alignment horizontal="left" vertical="top" wrapText="1"/>
    </xf>
    <xf numFmtId="0" fontId="9" fillId="4" borderId="1" xfId="0" applyFont="1" applyFill="1" applyBorder="1" applyAlignment="1">
      <alignment horizontal="center" vertical="top" wrapText="1"/>
    </xf>
    <xf numFmtId="0" fontId="24" fillId="0" borderId="0" xfId="0" applyFont="1"/>
    <xf numFmtId="0" fontId="26" fillId="5" borderId="1" xfId="0" applyFont="1" applyFill="1" applyBorder="1" applyAlignment="1">
      <alignment horizontal="center" vertical="top" wrapText="1"/>
    </xf>
    <xf numFmtId="0" fontId="9" fillId="5" borderId="1" xfId="0" applyFont="1" applyFill="1" applyBorder="1" applyAlignment="1">
      <alignment horizontal="left" vertical="top" wrapText="1"/>
    </xf>
    <xf numFmtId="0" fontId="26" fillId="4" borderId="1" xfId="0" applyFont="1" applyFill="1" applyBorder="1" applyAlignment="1">
      <alignment horizontal="center" vertical="top" wrapText="1"/>
    </xf>
    <xf numFmtId="0" fontId="9" fillId="4" borderId="1" xfId="0" applyFont="1" applyFill="1" applyBorder="1" applyAlignment="1">
      <alignment horizontal="left" vertical="top" wrapText="1"/>
    </xf>
    <xf numFmtId="0" fontId="5" fillId="0" borderId="0" xfId="0" applyFont="1"/>
    <xf numFmtId="0" fontId="8" fillId="2" borderId="0" xfId="0" applyFont="1" applyFill="1"/>
    <xf numFmtId="0" fontId="18" fillId="0" borderId="0" xfId="0" applyFont="1"/>
    <xf numFmtId="0" fontId="1" fillId="2" borderId="0" xfId="0" applyFont="1" applyFill="1"/>
    <xf numFmtId="0" fontId="2" fillId="0" borderId="0" xfId="0" applyFont="1"/>
    <xf numFmtId="0" fontId="6" fillId="0" borderId="0" xfId="0" applyFont="1"/>
    <xf numFmtId="0" fontId="19" fillId="5" borderId="1" xfId="0" applyFont="1" applyFill="1" applyBorder="1" applyAlignment="1">
      <alignment vertical="center"/>
    </xf>
    <xf numFmtId="0" fontId="19" fillId="4" borderId="1" xfId="0" applyFont="1" applyFill="1" applyBorder="1" applyAlignment="1">
      <alignment vertical="center"/>
    </xf>
    <xf numFmtId="0" fontId="19" fillId="0" borderId="0" xfId="0" applyFont="1"/>
    <xf numFmtId="0" fontId="6" fillId="11" borderId="1" xfId="0" applyFont="1" applyFill="1" applyBorder="1" applyAlignment="1">
      <alignment horizontal="left" vertical="center" wrapText="1"/>
    </xf>
    <xf numFmtId="0" fontId="2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C7293"/>
      <rgbColor rgb="FFF4F7F9"/>
      <rgbColor rgb="FF808080"/>
      <rgbColor rgb="FF9999FF"/>
      <rgbColor rgb="FF993366"/>
      <rgbColor rgb="FFFDF3E3"/>
      <rgbColor rgb="FFEAF5EE"/>
      <rgbColor rgb="FF660066"/>
      <rgbColor rgb="FFFF8080"/>
      <rgbColor rgb="FF0066CC"/>
      <rgbColor rgb="FFD9E2E6"/>
      <rgbColor rgb="FF000080"/>
      <rgbColor rgb="FFFF00FF"/>
      <rgbColor rgb="FFFFFF00"/>
      <rgbColor rgb="FF00FFFF"/>
      <rgbColor rgb="FF800080"/>
      <rgbColor rgb="FF800000"/>
      <rgbColor rgb="FF008080"/>
      <rgbColor rgb="FF0000FF"/>
      <rgbColor rgb="FF00CCFF"/>
      <rgbColor rgb="FFE9ECEE"/>
      <rgbColor rgb="FFF1F1F1"/>
      <rgbColor rgb="FFFBEAEA"/>
      <rgbColor rgb="FF99CCFF"/>
      <rgbColor rgb="FFFF99CC"/>
      <rgbColor rgb="FFCC99FF"/>
      <rgbColor rgb="FFF9D9D6"/>
      <rgbColor rgb="FF3366FF"/>
      <rgbColor rgb="FF33CCCC"/>
      <rgbColor rgb="FF99CC00"/>
      <rgbColor rgb="FFFFCC00"/>
      <rgbColor rgb="FFFF9900"/>
      <rgbColor rgb="FFC97F1E"/>
      <rgbColor rgb="FF5B6B76"/>
      <rgbColor rgb="FF8A97A0"/>
      <rgbColor rgb="FF0B3350"/>
      <rgbColor rgb="FF339966"/>
      <rgbColor rgb="FF003300"/>
      <rgbColor rgb="FF333300"/>
      <rgbColor rgb="FF8A2E22"/>
      <rgbColor rgb="FF993366"/>
      <rgbColor rgb="FF333399"/>
      <rgbColor rgb="FF1E5C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showGridLines="0" zoomScaleNormal="100" workbookViewId="0">
      <selection activeCell="A17" sqref="A17:H17"/>
    </sheetView>
  </sheetViews>
  <sheetFormatPr defaultColWidth="8.6640625" defaultRowHeight="14.4" x14ac:dyDescent="0.3"/>
  <cols>
    <col min="1" max="1" width="26" customWidth="1"/>
    <col min="2" max="2" width="22" customWidth="1"/>
    <col min="3" max="3" width="62" customWidth="1"/>
    <col min="4" max="8" width="10" customWidth="1"/>
  </cols>
  <sheetData>
    <row r="1" spans="1:8" ht="33.75" customHeight="1" x14ac:dyDescent="0.4">
      <c r="A1" s="59" t="s">
        <v>0</v>
      </c>
      <c r="B1" s="59"/>
      <c r="C1" s="59"/>
      <c r="D1" s="59"/>
      <c r="E1" s="59"/>
      <c r="F1" s="59"/>
      <c r="G1" s="59"/>
      <c r="H1" s="59"/>
    </row>
    <row r="2" spans="1:8" ht="19.5" customHeight="1" x14ac:dyDescent="0.3">
      <c r="A2" s="60" t="s">
        <v>1</v>
      </c>
      <c r="B2" s="60"/>
      <c r="C2" s="60"/>
      <c r="D2" s="60"/>
      <c r="E2" s="60"/>
      <c r="F2" s="60"/>
      <c r="G2" s="60"/>
      <c r="H2" s="60"/>
    </row>
    <row r="4" spans="1:8" ht="15" customHeight="1" x14ac:dyDescent="0.3">
      <c r="A4" s="4" t="s">
        <v>2</v>
      </c>
    </row>
    <row r="5" spans="1:8" ht="18" customHeight="1" x14ac:dyDescent="0.3">
      <c r="A5" s="5" t="s">
        <v>3</v>
      </c>
      <c r="B5" s="5" t="s">
        <v>4</v>
      </c>
      <c r="C5" s="5" t="s">
        <v>5</v>
      </c>
    </row>
    <row r="6" spans="1:8" ht="15" customHeight="1" x14ac:dyDescent="0.3">
      <c r="A6" s="6" t="s">
        <v>6</v>
      </c>
      <c r="B6" s="7">
        <v>2165</v>
      </c>
      <c r="C6" s="8" t="s">
        <v>7</v>
      </c>
    </row>
    <row r="7" spans="1:8" ht="15" customHeight="1" x14ac:dyDescent="0.3">
      <c r="A7" s="9" t="s">
        <v>8</v>
      </c>
      <c r="B7" s="10">
        <v>14</v>
      </c>
      <c r="C7" s="11"/>
    </row>
    <row r="8" spans="1:8" ht="15" customHeight="1" x14ac:dyDescent="0.3">
      <c r="A8" s="6" t="s">
        <v>9</v>
      </c>
      <c r="B8" s="7" t="s">
        <v>10</v>
      </c>
      <c r="C8" s="8" t="s">
        <v>11</v>
      </c>
    </row>
    <row r="9" spans="1:8" ht="15" customHeight="1" x14ac:dyDescent="0.3">
      <c r="A9" s="9" t="s">
        <v>12</v>
      </c>
      <c r="B9" s="10" t="s">
        <v>13</v>
      </c>
      <c r="C9" s="11" t="s">
        <v>14</v>
      </c>
    </row>
    <row r="10" spans="1:8" ht="15" customHeight="1" x14ac:dyDescent="0.3">
      <c r="A10" s="6" t="s">
        <v>15</v>
      </c>
      <c r="B10" s="7" t="s">
        <v>16</v>
      </c>
      <c r="C10" s="8"/>
    </row>
    <row r="11" spans="1:8" ht="15" customHeight="1" x14ac:dyDescent="0.3">
      <c r="A11" s="9" t="s">
        <v>17</v>
      </c>
      <c r="B11" s="10">
        <v>42</v>
      </c>
      <c r="C11" s="11" t="s">
        <v>18</v>
      </c>
    </row>
    <row r="12" spans="1:8" ht="15" customHeight="1" x14ac:dyDescent="0.3">
      <c r="A12" s="6" t="s">
        <v>19</v>
      </c>
      <c r="B12" s="7">
        <v>4</v>
      </c>
      <c r="C12" s="8" t="s">
        <v>20</v>
      </c>
    </row>
    <row r="13" spans="1:8" ht="26.25" customHeight="1" x14ac:dyDescent="0.3">
      <c r="A13" s="9" t="s">
        <v>21</v>
      </c>
      <c r="B13" s="10" t="s">
        <v>22</v>
      </c>
      <c r="C13" s="11" t="s">
        <v>23</v>
      </c>
    </row>
    <row r="14" spans="1:8" ht="15" customHeight="1" x14ac:dyDescent="0.3">
      <c r="A14" s="6" t="s">
        <v>24</v>
      </c>
      <c r="B14" s="7" t="s">
        <v>25</v>
      </c>
      <c r="C14" s="8" t="s">
        <v>26</v>
      </c>
    </row>
    <row r="16" spans="1:8" ht="15" customHeight="1" x14ac:dyDescent="0.3">
      <c r="A16" s="4" t="s">
        <v>27</v>
      </c>
    </row>
    <row r="17" spans="1:8" ht="27.75" customHeight="1" x14ac:dyDescent="0.3">
      <c r="A17" s="61" t="s">
        <v>279</v>
      </c>
      <c r="B17" s="61"/>
      <c r="C17" s="61"/>
      <c r="D17" s="61"/>
      <c r="E17" s="61"/>
      <c r="F17" s="61"/>
      <c r="G17" s="61"/>
      <c r="H17" s="61"/>
    </row>
    <row r="18" spans="1:8" ht="27.75" customHeight="1" x14ac:dyDescent="0.3">
      <c r="A18" s="61" t="s">
        <v>28</v>
      </c>
      <c r="B18" s="61"/>
      <c r="C18" s="61"/>
      <c r="D18" s="61"/>
      <c r="E18" s="61"/>
      <c r="F18" s="61"/>
      <c r="G18" s="61"/>
      <c r="H18" s="61"/>
    </row>
  </sheetData>
  <mergeCells count="4">
    <mergeCell ref="A1:H1"/>
    <mergeCell ref="A2:H2"/>
    <mergeCell ref="A17:H17"/>
    <mergeCell ref="A18:H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
  <sheetViews>
    <sheetView showGridLines="0" zoomScaleNormal="100" workbookViewId="0">
      <pane ySplit="4" topLeftCell="A22" activePane="bottomLeft" state="frozen"/>
      <selection pane="bottomLeft" activeCell="G24" sqref="G24"/>
    </sheetView>
  </sheetViews>
  <sheetFormatPr defaultColWidth="8.6640625" defaultRowHeight="14.4" x14ac:dyDescent="0.3"/>
  <cols>
    <col min="1" max="1" width="4" customWidth="1"/>
    <col min="2" max="2" width="16" customWidth="1"/>
    <col min="3" max="3" width="42" customWidth="1"/>
    <col min="4" max="6" width="9" customWidth="1"/>
    <col min="7" max="8" width="34" customWidth="1"/>
    <col min="9" max="9" width="30" customWidth="1"/>
    <col min="10" max="11" width="38" customWidth="1"/>
  </cols>
  <sheetData>
    <row r="1" spans="1:10" ht="27.75" customHeight="1" x14ac:dyDescent="0.35">
      <c r="A1" s="3" t="s">
        <v>29</v>
      </c>
      <c r="B1" s="3"/>
      <c r="C1" s="3"/>
      <c r="D1" s="3"/>
      <c r="E1" s="3"/>
      <c r="F1" s="3"/>
      <c r="G1" s="3"/>
      <c r="H1" s="3"/>
      <c r="I1" s="3"/>
      <c r="J1" s="3"/>
    </row>
    <row r="2" spans="1:10" ht="15" customHeight="1" x14ac:dyDescent="0.3">
      <c r="A2" s="12" t="s">
        <v>30</v>
      </c>
      <c r="B2" s="13">
        <v>2165</v>
      </c>
      <c r="C2" s="14" t="s">
        <v>31</v>
      </c>
      <c r="D2" s="14"/>
      <c r="E2" s="14"/>
      <c r="F2" s="14"/>
      <c r="G2" s="14"/>
      <c r="H2" s="14"/>
      <c r="I2" s="14"/>
    </row>
    <row r="4" spans="1:10" ht="33.75" customHeight="1" x14ac:dyDescent="0.3">
      <c r="A4" s="15" t="s">
        <v>32</v>
      </c>
      <c r="B4" s="15" t="s">
        <v>33</v>
      </c>
      <c r="C4" s="15" t="s">
        <v>34</v>
      </c>
      <c r="D4" s="15" t="s">
        <v>35</v>
      </c>
      <c r="E4" s="15" t="s">
        <v>36</v>
      </c>
      <c r="F4" s="15" t="s">
        <v>37</v>
      </c>
      <c r="G4" s="15" t="s">
        <v>38</v>
      </c>
      <c r="H4" s="15" t="s">
        <v>39</v>
      </c>
      <c r="I4" s="15" t="s">
        <v>40</v>
      </c>
      <c r="J4" s="15" t="s">
        <v>41</v>
      </c>
    </row>
    <row r="5" spans="1:10" ht="109.5" customHeight="1" x14ac:dyDescent="0.3">
      <c r="A5" s="16">
        <v>1</v>
      </c>
      <c r="B5" s="17" t="s">
        <v>42</v>
      </c>
      <c r="C5" s="17" t="s">
        <v>43</v>
      </c>
      <c r="D5" s="18">
        <v>5</v>
      </c>
      <c r="E5" s="19">
        <f t="shared" ref="E5:E24" si="0">D5/$B$2</f>
        <v>2.3094688221709007E-3</v>
      </c>
      <c r="F5" s="20" t="s">
        <v>44</v>
      </c>
      <c r="G5" s="17" t="s">
        <v>45</v>
      </c>
      <c r="H5" s="17" t="s">
        <v>46</v>
      </c>
      <c r="I5" s="17" t="s">
        <v>47</v>
      </c>
      <c r="J5" s="21" t="s">
        <v>48</v>
      </c>
    </row>
    <row r="6" spans="1:10" ht="82.5" customHeight="1" x14ac:dyDescent="0.3">
      <c r="A6" s="22">
        <v>2</v>
      </c>
      <c r="B6" s="23" t="s">
        <v>49</v>
      </c>
      <c r="C6" s="23" t="s">
        <v>50</v>
      </c>
      <c r="D6" s="24">
        <v>29</v>
      </c>
      <c r="E6" s="25">
        <f t="shared" si="0"/>
        <v>1.3394919168591224E-2</v>
      </c>
      <c r="F6" s="20" t="s">
        <v>44</v>
      </c>
      <c r="G6" s="23" t="s">
        <v>51</v>
      </c>
      <c r="H6" s="23" t="s">
        <v>52</v>
      </c>
      <c r="I6" s="23" t="s">
        <v>53</v>
      </c>
      <c r="J6" s="26" t="s">
        <v>54</v>
      </c>
    </row>
    <row r="7" spans="1:10" ht="81" customHeight="1" x14ac:dyDescent="0.3">
      <c r="A7" s="16">
        <v>3</v>
      </c>
      <c r="B7" s="17" t="s">
        <v>55</v>
      </c>
      <c r="C7" s="17" t="s">
        <v>280</v>
      </c>
      <c r="D7" s="18">
        <v>44</v>
      </c>
      <c r="E7" s="19">
        <f t="shared" si="0"/>
        <v>2.0323325635103928E-2</v>
      </c>
      <c r="F7" s="20" t="s">
        <v>44</v>
      </c>
      <c r="G7" s="17" t="s">
        <v>56</v>
      </c>
      <c r="H7" s="17" t="s">
        <v>57</v>
      </c>
      <c r="I7" s="17" t="s">
        <v>58</v>
      </c>
      <c r="J7" s="27" t="s">
        <v>59</v>
      </c>
    </row>
    <row r="8" spans="1:10" ht="109.5" customHeight="1" x14ac:dyDescent="0.3">
      <c r="A8" s="22">
        <v>4</v>
      </c>
      <c r="B8" s="23" t="s">
        <v>55</v>
      </c>
      <c r="C8" s="23" t="s">
        <v>60</v>
      </c>
      <c r="D8" s="24">
        <v>7</v>
      </c>
      <c r="E8" s="25">
        <f t="shared" si="0"/>
        <v>3.2332563510392609E-3</v>
      </c>
      <c r="F8" s="28" t="s">
        <v>61</v>
      </c>
      <c r="G8" s="23" t="s">
        <v>62</v>
      </c>
      <c r="H8" s="23" t="s">
        <v>63</v>
      </c>
      <c r="I8" s="23" t="s">
        <v>58</v>
      </c>
      <c r="J8" s="27" t="s">
        <v>64</v>
      </c>
    </row>
    <row r="9" spans="1:10" ht="78" customHeight="1" x14ac:dyDescent="0.3">
      <c r="A9" s="16">
        <v>5</v>
      </c>
      <c r="B9" s="17" t="s">
        <v>55</v>
      </c>
      <c r="C9" s="17" t="s">
        <v>281</v>
      </c>
      <c r="D9" s="18">
        <v>1</v>
      </c>
      <c r="E9" s="19">
        <f t="shared" si="0"/>
        <v>4.6189376443418013E-4</v>
      </c>
      <c r="F9" s="20" t="s">
        <v>44</v>
      </c>
      <c r="G9" s="17" t="s">
        <v>65</v>
      </c>
      <c r="H9" s="17" t="s">
        <v>66</v>
      </c>
      <c r="I9" s="17" t="s">
        <v>67</v>
      </c>
      <c r="J9" s="27" t="s">
        <v>68</v>
      </c>
    </row>
    <row r="10" spans="1:10" ht="89.25" customHeight="1" x14ac:dyDescent="0.3">
      <c r="A10" s="22">
        <v>6</v>
      </c>
      <c r="B10" s="23" t="s">
        <v>69</v>
      </c>
      <c r="C10" s="23" t="s">
        <v>70</v>
      </c>
      <c r="D10" s="24">
        <v>11</v>
      </c>
      <c r="E10" s="25">
        <f t="shared" si="0"/>
        <v>5.0808314087759819E-3</v>
      </c>
      <c r="F10" s="28" t="s">
        <v>61</v>
      </c>
      <c r="G10" s="23" t="s">
        <v>71</v>
      </c>
      <c r="H10" s="23" t="s">
        <v>72</v>
      </c>
      <c r="I10" s="23" t="s">
        <v>73</v>
      </c>
      <c r="J10" s="26" t="s">
        <v>74</v>
      </c>
    </row>
    <row r="11" spans="1:10" ht="98.25" customHeight="1" x14ac:dyDescent="0.3">
      <c r="A11" s="16">
        <v>7</v>
      </c>
      <c r="B11" s="17" t="s">
        <v>75</v>
      </c>
      <c r="C11" s="17" t="s">
        <v>76</v>
      </c>
      <c r="D11" s="18">
        <v>9</v>
      </c>
      <c r="E11" s="19">
        <f t="shared" si="0"/>
        <v>4.1570438799076216E-3</v>
      </c>
      <c r="F11" s="28" t="s">
        <v>61</v>
      </c>
      <c r="G11" s="17" t="s">
        <v>77</v>
      </c>
      <c r="H11" s="17" t="s">
        <v>78</v>
      </c>
      <c r="I11" s="17" t="s">
        <v>73</v>
      </c>
      <c r="J11" s="26" t="s">
        <v>79</v>
      </c>
    </row>
    <row r="12" spans="1:10" ht="96.75" customHeight="1" x14ac:dyDescent="0.3">
      <c r="A12" s="22">
        <v>8</v>
      </c>
      <c r="B12" s="23" t="s">
        <v>75</v>
      </c>
      <c r="C12" s="23" t="s">
        <v>80</v>
      </c>
      <c r="D12" s="24">
        <v>20</v>
      </c>
      <c r="E12" s="25">
        <f t="shared" si="0"/>
        <v>9.2378752886836026E-3</v>
      </c>
      <c r="F12" s="20" t="s">
        <v>44</v>
      </c>
      <c r="G12" s="23" t="s">
        <v>81</v>
      </c>
      <c r="H12" s="23" t="s">
        <v>82</v>
      </c>
      <c r="I12" s="23" t="s">
        <v>83</v>
      </c>
      <c r="J12" s="26" t="s">
        <v>84</v>
      </c>
    </row>
    <row r="13" spans="1:10" ht="109.5" customHeight="1" x14ac:dyDescent="0.3">
      <c r="A13" s="16">
        <v>9</v>
      </c>
      <c r="B13" s="17" t="s">
        <v>85</v>
      </c>
      <c r="C13" s="17" t="s">
        <v>86</v>
      </c>
      <c r="D13" s="18">
        <v>3</v>
      </c>
      <c r="E13" s="19">
        <f t="shared" si="0"/>
        <v>1.3856812933025404E-3</v>
      </c>
      <c r="F13" s="20" t="s">
        <v>44</v>
      </c>
      <c r="G13" s="17" t="s">
        <v>87</v>
      </c>
      <c r="H13" s="17" t="s">
        <v>88</v>
      </c>
      <c r="I13" s="17" t="s">
        <v>89</v>
      </c>
      <c r="J13" s="26" t="s">
        <v>90</v>
      </c>
    </row>
    <row r="14" spans="1:10" ht="109.5" customHeight="1" x14ac:dyDescent="0.3">
      <c r="A14" s="22">
        <v>10</v>
      </c>
      <c r="B14" s="23" t="s">
        <v>91</v>
      </c>
      <c r="C14" s="23" t="s">
        <v>92</v>
      </c>
      <c r="D14" s="24">
        <v>160</v>
      </c>
      <c r="E14" s="25">
        <f t="shared" si="0"/>
        <v>7.3903002309468821E-2</v>
      </c>
      <c r="F14" s="20" t="s">
        <v>44</v>
      </c>
      <c r="G14" s="23" t="s">
        <v>355</v>
      </c>
      <c r="H14" s="23" t="s">
        <v>93</v>
      </c>
      <c r="I14" s="23" t="s">
        <v>94</v>
      </c>
      <c r="J14" s="26" t="s">
        <v>95</v>
      </c>
    </row>
    <row r="15" spans="1:10" ht="80.25" customHeight="1" x14ac:dyDescent="0.3">
      <c r="A15" s="16">
        <v>11</v>
      </c>
      <c r="B15" s="17" t="s">
        <v>96</v>
      </c>
      <c r="C15" s="17" t="s">
        <v>97</v>
      </c>
      <c r="D15" s="18">
        <v>8</v>
      </c>
      <c r="E15" s="19">
        <f t="shared" si="0"/>
        <v>3.695150115473441E-3</v>
      </c>
      <c r="F15" s="28" t="s">
        <v>61</v>
      </c>
      <c r="G15" s="17" t="s">
        <v>98</v>
      </c>
      <c r="H15" s="17" t="s">
        <v>78</v>
      </c>
      <c r="I15" s="17" t="s">
        <v>73</v>
      </c>
      <c r="J15" s="26" t="s">
        <v>99</v>
      </c>
    </row>
    <row r="16" spans="1:10" ht="109.5" customHeight="1" x14ac:dyDescent="0.3">
      <c r="A16" s="22">
        <v>12</v>
      </c>
      <c r="B16" s="23" t="s">
        <v>100</v>
      </c>
      <c r="C16" s="23" t="s">
        <v>101</v>
      </c>
      <c r="D16" s="24">
        <v>14</v>
      </c>
      <c r="E16" s="25">
        <f t="shared" si="0"/>
        <v>6.4665127020785218E-3</v>
      </c>
      <c r="F16" s="20" t="s">
        <v>44</v>
      </c>
      <c r="G16" s="23" t="s">
        <v>102</v>
      </c>
      <c r="H16" s="23" t="s">
        <v>103</v>
      </c>
      <c r="I16" s="23" t="s">
        <v>104</v>
      </c>
      <c r="J16" s="26" t="s">
        <v>105</v>
      </c>
    </row>
    <row r="17" spans="1:10" ht="93" customHeight="1" x14ac:dyDescent="0.3">
      <c r="A17" s="16">
        <v>13</v>
      </c>
      <c r="B17" s="17" t="s">
        <v>106</v>
      </c>
      <c r="C17" s="17" t="s">
        <v>107</v>
      </c>
      <c r="D17" s="18">
        <v>28</v>
      </c>
      <c r="E17" s="19">
        <f t="shared" si="0"/>
        <v>1.2933025404157044E-2</v>
      </c>
      <c r="F17" s="20" t="s">
        <v>44</v>
      </c>
      <c r="G17" s="17" t="s">
        <v>108</v>
      </c>
      <c r="H17" s="17" t="s">
        <v>109</v>
      </c>
      <c r="I17" s="17" t="s">
        <v>53</v>
      </c>
      <c r="J17" s="29" t="s">
        <v>110</v>
      </c>
    </row>
    <row r="18" spans="1:10" ht="109.5" customHeight="1" x14ac:dyDescent="0.3">
      <c r="A18" s="22">
        <v>14</v>
      </c>
      <c r="B18" s="23" t="s">
        <v>106</v>
      </c>
      <c r="C18" s="23" t="s">
        <v>111</v>
      </c>
      <c r="D18" s="24">
        <v>1862</v>
      </c>
      <c r="E18" s="25">
        <f t="shared" si="0"/>
        <v>0.86004618937644339</v>
      </c>
      <c r="F18" s="28" t="s">
        <v>61</v>
      </c>
      <c r="G18" s="23" t="s">
        <v>112</v>
      </c>
      <c r="H18" s="23" t="s">
        <v>113</v>
      </c>
      <c r="I18" s="23" t="s">
        <v>114</v>
      </c>
      <c r="J18" s="29" t="s">
        <v>115</v>
      </c>
    </row>
    <row r="19" spans="1:10" ht="83.25" customHeight="1" x14ac:dyDescent="0.3">
      <c r="A19" s="16">
        <v>15</v>
      </c>
      <c r="B19" s="17" t="s">
        <v>116</v>
      </c>
      <c r="C19" s="17" t="s">
        <v>117</v>
      </c>
      <c r="D19" s="18">
        <v>1754</v>
      </c>
      <c r="E19" s="19">
        <f t="shared" si="0"/>
        <v>0.81016166281755198</v>
      </c>
      <c r="F19" s="20" t="s">
        <v>44</v>
      </c>
      <c r="G19" s="17" t="s">
        <v>118</v>
      </c>
      <c r="H19" s="17" t="s">
        <v>119</v>
      </c>
      <c r="I19" s="17" t="s">
        <v>120</v>
      </c>
      <c r="J19" s="29" t="s">
        <v>121</v>
      </c>
    </row>
    <row r="20" spans="1:10" ht="109.5" customHeight="1" x14ac:dyDescent="0.3">
      <c r="A20" s="22">
        <v>16</v>
      </c>
      <c r="B20" s="23" t="s">
        <v>116</v>
      </c>
      <c r="C20" s="23" t="s">
        <v>122</v>
      </c>
      <c r="D20" s="24">
        <v>105</v>
      </c>
      <c r="E20" s="25">
        <f t="shared" si="0"/>
        <v>4.8498845265588918E-2</v>
      </c>
      <c r="F20" s="28" t="s">
        <v>61</v>
      </c>
      <c r="G20" s="23" t="s">
        <v>123</v>
      </c>
      <c r="H20" s="23" t="s">
        <v>124</v>
      </c>
      <c r="I20" s="23" t="s">
        <v>125</v>
      </c>
      <c r="J20" s="29" t="s">
        <v>121</v>
      </c>
    </row>
    <row r="21" spans="1:10" ht="109.5" customHeight="1" x14ac:dyDescent="0.3">
      <c r="A21" s="16">
        <v>17</v>
      </c>
      <c r="B21" s="17" t="s">
        <v>126</v>
      </c>
      <c r="C21" s="17" t="s">
        <v>127</v>
      </c>
      <c r="D21" s="18">
        <v>6</v>
      </c>
      <c r="E21" s="19">
        <f t="shared" si="0"/>
        <v>2.7713625866050808E-3</v>
      </c>
      <c r="F21" s="28" t="s">
        <v>61</v>
      </c>
      <c r="G21" s="17" t="s">
        <v>128</v>
      </c>
      <c r="H21" s="17" t="s">
        <v>129</v>
      </c>
      <c r="I21" s="17" t="s">
        <v>130</v>
      </c>
      <c r="J21" s="29" t="s">
        <v>131</v>
      </c>
    </row>
    <row r="22" spans="1:10" ht="109.5" customHeight="1" x14ac:dyDescent="0.3">
      <c r="A22" s="22">
        <v>18</v>
      </c>
      <c r="B22" s="23" t="s">
        <v>132</v>
      </c>
      <c r="C22" s="23" t="s">
        <v>133</v>
      </c>
      <c r="D22" s="24">
        <v>296</v>
      </c>
      <c r="E22" s="25">
        <f t="shared" si="0"/>
        <v>0.13672055427251731</v>
      </c>
      <c r="F22" s="20" t="s">
        <v>44</v>
      </c>
      <c r="G22" s="23" t="s">
        <v>134</v>
      </c>
      <c r="H22" s="23" t="s">
        <v>135</v>
      </c>
      <c r="I22" s="23" t="s">
        <v>136</v>
      </c>
      <c r="J22" s="29" t="s">
        <v>137</v>
      </c>
    </row>
    <row r="23" spans="1:10" ht="109.5" customHeight="1" x14ac:dyDescent="0.3">
      <c r="A23" s="16">
        <v>19</v>
      </c>
      <c r="B23" s="17" t="s">
        <v>126</v>
      </c>
      <c r="C23" s="17" t="s">
        <v>138</v>
      </c>
      <c r="D23" s="18">
        <v>1678</v>
      </c>
      <c r="E23" s="19">
        <f t="shared" si="0"/>
        <v>0.77505773672055422</v>
      </c>
      <c r="F23" s="20" t="s">
        <v>44</v>
      </c>
      <c r="G23" s="17" t="s">
        <v>139</v>
      </c>
      <c r="H23" s="17" t="s">
        <v>140</v>
      </c>
      <c r="I23" s="17" t="s">
        <v>141</v>
      </c>
      <c r="J23" s="29" t="s">
        <v>142</v>
      </c>
    </row>
    <row r="24" spans="1:10" ht="109.5" customHeight="1" x14ac:dyDescent="0.3">
      <c r="A24" s="22">
        <v>20</v>
      </c>
      <c r="B24" s="23" t="s">
        <v>143</v>
      </c>
      <c r="C24" s="23" t="s">
        <v>144</v>
      </c>
      <c r="D24" s="24">
        <v>139</v>
      </c>
      <c r="E24" s="25">
        <f t="shared" si="0"/>
        <v>6.4203233256351036E-2</v>
      </c>
      <c r="F24" s="20" t="s">
        <v>44</v>
      </c>
      <c r="G24" s="23" t="s">
        <v>351</v>
      </c>
      <c r="H24" s="23" t="s">
        <v>145</v>
      </c>
      <c r="I24" s="23" t="s">
        <v>146</v>
      </c>
      <c r="J24" s="30" t="s">
        <v>147</v>
      </c>
    </row>
    <row r="26" spans="1:10" ht="15" customHeight="1" x14ac:dyDescent="0.3">
      <c r="A26" s="31" t="s">
        <v>148</v>
      </c>
    </row>
    <row r="27" spans="1:10" ht="15" customHeight="1" x14ac:dyDescent="0.3">
      <c r="A27" s="32" t="s">
        <v>44</v>
      </c>
      <c r="B27" s="33" t="s">
        <v>149</v>
      </c>
      <c r="C27" s="33"/>
      <c r="D27" s="33"/>
      <c r="E27" s="33"/>
      <c r="F27" s="33"/>
    </row>
    <row r="28" spans="1:10" ht="15" customHeight="1" x14ac:dyDescent="0.3">
      <c r="A28" s="34" t="s">
        <v>61</v>
      </c>
      <c r="B28" s="33" t="s">
        <v>150</v>
      </c>
      <c r="C28" s="33"/>
      <c r="D28" s="33"/>
      <c r="E28" s="33"/>
      <c r="F28" s="33"/>
    </row>
    <row r="29" spans="1:10" ht="15" customHeight="1" x14ac:dyDescent="0.3">
      <c r="A29" s="35" t="s">
        <v>151</v>
      </c>
      <c r="B29" s="33" t="s">
        <v>152</v>
      </c>
      <c r="C29" s="33"/>
      <c r="D29" s="33"/>
      <c r="E29" s="33"/>
      <c r="F29" s="33"/>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2"/>
  <sheetViews>
    <sheetView showGridLines="0" topLeftCell="A16" zoomScaleNormal="100" workbookViewId="0">
      <selection activeCell="E27" sqref="E27"/>
    </sheetView>
  </sheetViews>
  <sheetFormatPr defaultColWidth="8.6640625" defaultRowHeight="14.4" x14ac:dyDescent="0.3"/>
  <cols>
    <col min="1" max="1" width="12.33203125" customWidth="1"/>
    <col min="2" max="2" width="46" customWidth="1"/>
    <col min="3" max="3" width="30" customWidth="1"/>
    <col min="4" max="4" width="14" customWidth="1"/>
    <col min="5" max="7" width="30" customWidth="1"/>
  </cols>
  <sheetData>
    <row r="1" spans="1:7" ht="27.75" customHeight="1" x14ac:dyDescent="0.35">
      <c r="A1" s="57" t="s">
        <v>282</v>
      </c>
      <c r="B1" s="57"/>
      <c r="C1" s="57"/>
      <c r="D1" s="57"/>
      <c r="E1" s="57"/>
      <c r="F1" s="57"/>
      <c r="G1" s="57"/>
    </row>
    <row r="2" spans="1:7" ht="19.5" customHeight="1" x14ac:dyDescent="0.3">
      <c r="A2" s="58" t="s">
        <v>283</v>
      </c>
      <c r="B2" s="58"/>
      <c r="C2" s="58"/>
      <c r="D2" s="58"/>
      <c r="E2" s="58"/>
      <c r="F2" s="58"/>
      <c r="G2" s="58"/>
    </row>
    <row r="4" spans="1:7" ht="15" customHeight="1" x14ac:dyDescent="0.3">
      <c r="A4" s="4" t="s">
        <v>153</v>
      </c>
    </row>
    <row r="5" spans="1:7" ht="15" customHeight="1" x14ac:dyDescent="0.3">
      <c r="A5" s="36" t="s">
        <v>154</v>
      </c>
      <c r="B5" s="62" t="s">
        <v>155</v>
      </c>
      <c r="C5" s="62"/>
      <c r="D5" s="62"/>
      <c r="E5" s="62"/>
    </row>
    <row r="6" spans="1:7" ht="15" customHeight="1" x14ac:dyDescent="0.3">
      <c r="A6" s="37" t="s">
        <v>156</v>
      </c>
      <c r="B6" s="63" t="s">
        <v>157</v>
      </c>
      <c r="C6" s="63"/>
      <c r="D6" s="63"/>
      <c r="E6" s="63"/>
    </row>
    <row r="7" spans="1:7" ht="15" customHeight="1" x14ac:dyDescent="0.3">
      <c r="A7" s="36" t="s">
        <v>158</v>
      </c>
      <c r="B7" s="62" t="s">
        <v>159</v>
      </c>
      <c r="C7" s="62"/>
      <c r="D7" s="62"/>
      <c r="E7" s="62"/>
    </row>
    <row r="8" spans="1:7" ht="15" customHeight="1" x14ac:dyDescent="0.3">
      <c r="A8" s="37"/>
      <c r="B8" s="63"/>
      <c r="C8" s="63"/>
      <c r="D8" s="63"/>
      <c r="E8" s="63"/>
    </row>
    <row r="9" spans="1:7" ht="15" customHeight="1" x14ac:dyDescent="0.3">
      <c r="A9" s="36"/>
      <c r="B9" s="62"/>
      <c r="C9" s="62"/>
      <c r="D9" s="62"/>
      <c r="E9" s="62"/>
    </row>
    <row r="10" spans="1:7" ht="15" customHeight="1" x14ac:dyDescent="0.3">
      <c r="A10" s="37"/>
      <c r="B10" s="63"/>
      <c r="C10" s="63"/>
      <c r="D10" s="63"/>
      <c r="E10" s="63"/>
    </row>
    <row r="12" spans="1:7" ht="15" customHeight="1" x14ac:dyDescent="0.3">
      <c r="A12" s="4" t="s">
        <v>160</v>
      </c>
    </row>
    <row r="13" spans="1:7" ht="19.5" customHeight="1" x14ac:dyDescent="0.3">
      <c r="A13" s="5" t="s">
        <v>32</v>
      </c>
      <c r="B13" s="5" t="s">
        <v>161</v>
      </c>
      <c r="C13" s="5" t="s">
        <v>162</v>
      </c>
      <c r="D13" s="5" t="s">
        <v>163</v>
      </c>
    </row>
    <row r="14" spans="1:7" ht="33.75" customHeight="1" x14ac:dyDescent="0.3">
      <c r="A14" s="38" t="s">
        <v>164</v>
      </c>
      <c r="B14" s="39" t="s">
        <v>165</v>
      </c>
      <c r="C14" s="39" t="s">
        <v>166</v>
      </c>
      <c r="D14" s="40" t="s">
        <v>167</v>
      </c>
    </row>
    <row r="15" spans="1:7" ht="33.75" customHeight="1" x14ac:dyDescent="0.3">
      <c r="A15" s="41" t="s">
        <v>168</v>
      </c>
      <c r="B15" s="42" t="s">
        <v>169</v>
      </c>
      <c r="C15" s="42" t="s">
        <v>170</v>
      </c>
      <c r="D15" s="43" t="s">
        <v>167</v>
      </c>
    </row>
    <row r="16" spans="1:7" ht="33.75" customHeight="1" x14ac:dyDescent="0.3">
      <c r="A16" s="38" t="s">
        <v>171</v>
      </c>
      <c r="B16" s="39" t="s">
        <v>172</v>
      </c>
      <c r="C16" s="39" t="s">
        <v>173</v>
      </c>
      <c r="D16" s="40" t="s">
        <v>167</v>
      </c>
    </row>
    <row r="17" spans="1:7" ht="33.75" customHeight="1" x14ac:dyDescent="0.3">
      <c r="A17" s="41" t="s">
        <v>174</v>
      </c>
      <c r="B17" s="42" t="s">
        <v>175</v>
      </c>
      <c r="C17" s="42" t="s">
        <v>176</v>
      </c>
      <c r="D17" s="43" t="s">
        <v>167</v>
      </c>
    </row>
    <row r="18" spans="1:7" ht="33.75" customHeight="1" x14ac:dyDescent="0.3">
      <c r="A18" s="38" t="s">
        <v>177</v>
      </c>
      <c r="B18" s="39" t="s">
        <v>178</v>
      </c>
      <c r="C18" s="39" t="s">
        <v>179</v>
      </c>
      <c r="D18" s="40" t="s">
        <v>167</v>
      </c>
    </row>
    <row r="19" spans="1:7" ht="30" customHeight="1" x14ac:dyDescent="0.3">
      <c r="A19" s="44" t="s">
        <v>180</v>
      </c>
      <c r="B19" s="45" t="s">
        <v>181</v>
      </c>
      <c r="C19" s="45" t="s">
        <v>182</v>
      </c>
      <c r="D19" s="46" t="s">
        <v>167</v>
      </c>
    </row>
    <row r="21" spans="1:7" ht="15" customHeight="1" x14ac:dyDescent="0.3">
      <c r="A21" s="47" t="s">
        <v>183</v>
      </c>
    </row>
    <row r="22" spans="1:7" ht="48" customHeight="1" x14ac:dyDescent="0.3">
      <c r="A22" s="65" t="s">
        <v>284</v>
      </c>
      <c r="B22" s="65"/>
      <c r="C22" s="65"/>
      <c r="D22" s="65"/>
      <c r="E22" s="65"/>
      <c r="F22" s="65"/>
      <c r="G22" s="65"/>
    </row>
    <row r="24" spans="1:7" ht="15" customHeight="1" x14ac:dyDescent="0.3">
      <c r="A24" s="4" t="s">
        <v>184</v>
      </c>
    </row>
    <row r="25" spans="1:7" ht="18" customHeight="1" x14ac:dyDescent="0.3">
      <c r="A25" s="5" t="s">
        <v>185</v>
      </c>
      <c r="B25" s="5" t="s">
        <v>186</v>
      </c>
      <c r="C25" s="5" t="s">
        <v>187</v>
      </c>
      <c r="D25" s="5" t="s">
        <v>188</v>
      </c>
      <c r="E25" s="5" t="s">
        <v>189</v>
      </c>
    </row>
    <row r="26" spans="1:7" ht="31.5" customHeight="1" x14ac:dyDescent="0.3">
      <c r="A26" s="38">
        <v>1</v>
      </c>
      <c r="B26" s="40" t="s">
        <v>190</v>
      </c>
      <c r="C26" s="39" t="s">
        <v>352</v>
      </c>
      <c r="D26" s="48" t="s">
        <v>180</v>
      </c>
      <c r="E26" s="49" t="s">
        <v>353</v>
      </c>
    </row>
    <row r="27" spans="1:7" ht="31.5" customHeight="1" x14ac:dyDescent="0.3">
      <c r="A27" s="41">
        <v>2</v>
      </c>
      <c r="B27" s="43" t="s">
        <v>191</v>
      </c>
      <c r="C27" s="42" t="s">
        <v>192</v>
      </c>
      <c r="D27" s="50" t="s">
        <v>180</v>
      </c>
      <c r="E27" s="49" t="s">
        <v>354</v>
      </c>
    </row>
    <row r="28" spans="1:7" ht="31.5" customHeight="1" x14ac:dyDescent="0.3">
      <c r="A28" s="38">
        <v>3</v>
      </c>
      <c r="B28" s="40" t="s">
        <v>168</v>
      </c>
      <c r="C28" s="39" t="s">
        <v>193</v>
      </c>
      <c r="D28" s="48" t="s">
        <v>194</v>
      </c>
      <c r="E28" s="49" t="s">
        <v>195</v>
      </c>
    </row>
    <row r="29" spans="1:7" ht="31.5" customHeight="1" x14ac:dyDescent="0.3">
      <c r="A29" s="41">
        <v>4</v>
      </c>
      <c r="B29" s="43" t="s">
        <v>196</v>
      </c>
      <c r="C29" s="42" t="s">
        <v>197</v>
      </c>
      <c r="D29" s="50" t="s">
        <v>171</v>
      </c>
      <c r="E29" s="49" t="s">
        <v>195</v>
      </c>
    </row>
    <row r="30" spans="1:7" ht="31.5" customHeight="1" x14ac:dyDescent="0.3">
      <c r="A30" s="38">
        <v>5</v>
      </c>
      <c r="B30" s="40" t="s">
        <v>198</v>
      </c>
      <c r="C30" s="39" t="s">
        <v>199</v>
      </c>
      <c r="D30" s="48" t="s">
        <v>174</v>
      </c>
      <c r="E30" s="49" t="s">
        <v>195</v>
      </c>
    </row>
    <row r="31" spans="1:7" ht="31.5" customHeight="1" x14ac:dyDescent="0.3">
      <c r="A31" s="41">
        <v>6</v>
      </c>
      <c r="B31" s="43" t="s">
        <v>200</v>
      </c>
      <c r="C31" s="42" t="s">
        <v>201</v>
      </c>
      <c r="D31" s="50" t="s">
        <v>177</v>
      </c>
      <c r="E31" s="49" t="s">
        <v>195</v>
      </c>
    </row>
    <row r="32" spans="1:7" ht="31.5" customHeight="1" x14ac:dyDescent="0.3">
      <c r="A32" s="38">
        <v>7</v>
      </c>
      <c r="B32" s="40" t="s">
        <v>202</v>
      </c>
      <c r="C32" s="39" t="s">
        <v>203</v>
      </c>
      <c r="D32" s="48" t="s">
        <v>177</v>
      </c>
      <c r="E32" s="49" t="s">
        <v>195</v>
      </c>
    </row>
    <row r="33" spans="1:7" ht="31.5" customHeight="1" x14ac:dyDescent="0.3">
      <c r="A33" s="41">
        <v>8</v>
      </c>
      <c r="B33" s="43" t="s">
        <v>204</v>
      </c>
      <c r="C33" s="42" t="s">
        <v>205</v>
      </c>
      <c r="D33" s="50" t="s">
        <v>177</v>
      </c>
      <c r="E33" s="49" t="s">
        <v>195</v>
      </c>
    </row>
    <row r="34" spans="1:7" ht="31.5" customHeight="1" x14ac:dyDescent="0.3">
      <c r="A34" s="38">
        <v>9</v>
      </c>
      <c r="B34" s="40" t="s">
        <v>206</v>
      </c>
      <c r="C34" s="39" t="s">
        <v>207</v>
      </c>
      <c r="D34" s="48" t="s">
        <v>208</v>
      </c>
      <c r="E34" s="49" t="s">
        <v>195</v>
      </c>
    </row>
    <row r="35" spans="1:7" ht="31.5" customHeight="1" x14ac:dyDescent="0.3">
      <c r="A35" s="41"/>
      <c r="B35" s="43"/>
      <c r="C35" s="42"/>
      <c r="D35" s="50"/>
    </row>
    <row r="37" spans="1:7" ht="15" customHeight="1" x14ac:dyDescent="0.3">
      <c r="A37" s="51" t="s">
        <v>209</v>
      </c>
    </row>
    <row r="38" spans="1:7" ht="48" customHeight="1" x14ac:dyDescent="0.3">
      <c r="A38" s="66" t="s">
        <v>210</v>
      </c>
      <c r="B38" s="66"/>
      <c r="C38" s="66"/>
      <c r="D38" s="66"/>
      <c r="E38" s="66"/>
      <c r="F38" s="66"/>
      <c r="G38" s="66"/>
    </row>
    <row r="40" spans="1:7" ht="15" customHeight="1" x14ac:dyDescent="0.3">
      <c r="A40" s="4" t="s">
        <v>211</v>
      </c>
    </row>
    <row r="41" spans="1:7" ht="43.5" customHeight="1" x14ac:dyDescent="0.3">
      <c r="A41" s="64" t="s">
        <v>212</v>
      </c>
      <c r="B41" s="64"/>
      <c r="C41" s="64"/>
      <c r="D41" s="64"/>
      <c r="E41" s="64"/>
      <c r="F41" s="64"/>
      <c r="G41" s="64"/>
    </row>
    <row r="42" spans="1:7" ht="43.5" customHeight="1" x14ac:dyDescent="0.3">
      <c r="A42" s="64" t="s">
        <v>213</v>
      </c>
      <c r="B42" s="64"/>
      <c r="C42" s="64"/>
      <c r="D42" s="64"/>
      <c r="E42" s="64"/>
      <c r="F42" s="64"/>
      <c r="G42" s="64"/>
    </row>
  </sheetData>
  <mergeCells count="12">
    <mergeCell ref="A41:G41"/>
    <mergeCell ref="A42:G42"/>
    <mergeCell ref="B8:E8"/>
    <mergeCell ref="B9:E9"/>
    <mergeCell ref="B10:E10"/>
    <mergeCell ref="A22:G22"/>
    <mergeCell ref="A38:G38"/>
    <mergeCell ref="A1:G1"/>
    <mergeCell ref="A2:G2"/>
    <mergeCell ref="B5:E5"/>
    <mergeCell ref="B6:E6"/>
    <mergeCell ref="B7:E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3"/>
  <sheetViews>
    <sheetView showGridLines="0" tabSelected="1" zoomScale="93" zoomScaleNormal="63" workbookViewId="0">
      <pane ySplit="4" topLeftCell="A30" activePane="bottomLeft" state="frozen"/>
      <selection pane="bottomLeft" activeCell="D30" sqref="D30"/>
    </sheetView>
  </sheetViews>
  <sheetFormatPr defaultColWidth="8.6640625" defaultRowHeight="14.4" x14ac:dyDescent="0.3"/>
  <cols>
    <col min="1" max="1" width="7" customWidth="1"/>
    <col min="2" max="2" width="20" customWidth="1"/>
    <col min="3" max="3" width="46" customWidth="1"/>
    <col min="4" max="4" width="30" customWidth="1"/>
    <col min="5" max="5" width="50" customWidth="1"/>
  </cols>
  <sheetData>
    <row r="1" spans="1:6" ht="27.75" customHeight="1" x14ac:dyDescent="0.35">
      <c r="A1" s="57" t="s">
        <v>214</v>
      </c>
      <c r="B1" s="57"/>
      <c r="C1" s="57"/>
      <c r="D1" s="57"/>
      <c r="E1" s="57"/>
      <c r="F1" s="57"/>
    </row>
    <row r="2" spans="1:6" ht="30" customHeight="1" x14ac:dyDescent="0.3">
      <c r="A2" s="58" t="s">
        <v>285</v>
      </c>
      <c r="B2" s="58"/>
      <c r="C2" s="58"/>
      <c r="D2" s="58"/>
      <c r="E2" s="58"/>
      <c r="F2" s="58"/>
    </row>
    <row r="4" spans="1:6" ht="19.5" customHeight="1" x14ac:dyDescent="0.3">
      <c r="A4" s="5" t="s">
        <v>215</v>
      </c>
      <c r="B4" s="5" t="s">
        <v>216</v>
      </c>
      <c r="C4" s="5" t="s">
        <v>217</v>
      </c>
      <c r="D4" s="5" t="s">
        <v>218</v>
      </c>
      <c r="E4" s="5" t="s">
        <v>219</v>
      </c>
    </row>
    <row r="5" spans="1:6" ht="85.5" customHeight="1" x14ac:dyDescent="0.3">
      <c r="A5" s="52">
        <v>1</v>
      </c>
      <c r="B5" s="53" t="s">
        <v>220</v>
      </c>
      <c r="C5" s="39" t="s">
        <v>221</v>
      </c>
      <c r="D5" s="39" t="s">
        <v>222</v>
      </c>
      <c r="E5" s="39" t="s">
        <v>223</v>
      </c>
    </row>
    <row r="6" spans="1:6" ht="103.5" customHeight="1" x14ac:dyDescent="0.3">
      <c r="A6" s="54">
        <v>2</v>
      </c>
      <c r="B6" s="55" t="s">
        <v>224</v>
      </c>
      <c r="C6" s="42" t="s">
        <v>225</v>
      </c>
      <c r="D6" s="42" t="s">
        <v>226</v>
      </c>
      <c r="E6" s="42" t="s">
        <v>227</v>
      </c>
    </row>
    <row r="7" spans="1:6" ht="141" customHeight="1" x14ac:dyDescent="0.3">
      <c r="A7" s="52">
        <v>3</v>
      </c>
      <c r="B7" s="53" t="s">
        <v>228</v>
      </c>
      <c r="C7" s="39" t="s">
        <v>229</v>
      </c>
      <c r="D7" s="39" t="s">
        <v>230</v>
      </c>
      <c r="E7" s="39" t="s">
        <v>231</v>
      </c>
    </row>
    <row r="8" spans="1:6" ht="159.75" customHeight="1" x14ac:dyDescent="0.3">
      <c r="A8" s="54">
        <v>4</v>
      </c>
      <c r="B8" s="55" t="s">
        <v>232</v>
      </c>
      <c r="C8" s="42" t="s">
        <v>233</v>
      </c>
      <c r="D8" s="42" t="s">
        <v>234</v>
      </c>
      <c r="E8" s="42" t="s">
        <v>235</v>
      </c>
    </row>
    <row r="9" spans="1:6" ht="159.75" customHeight="1" x14ac:dyDescent="0.3">
      <c r="A9" s="52">
        <v>5</v>
      </c>
      <c r="B9" s="53" t="s">
        <v>236</v>
      </c>
      <c r="C9" s="39" t="s">
        <v>237</v>
      </c>
      <c r="D9" s="39" t="s">
        <v>238</v>
      </c>
      <c r="E9" s="39" t="s">
        <v>239</v>
      </c>
    </row>
    <row r="10" spans="1:6" ht="159.75" customHeight="1" x14ac:dyDescent="0.3">
      <c r="A10" s="54">
        <v>6</v>
      </c>
      <c r="B10" s="55" t="s">
        <v>240</v>
      </c>
      <c r="C10" s="42" t="s">
        <v>241</v>
      </c>
      <c r="D10" s="42" t="s">
        <v>242</v>
      </c>
      <c r="E10" s="42" t="s">
        <v>286</v>
      </c>
    </row>
    <row r="11" spans="1:6" ht="159.75" customHeight="1" x14ac:dyDescent="0.3">
      <c r="A11" s="52">
        <v>7</v>
      </c>
      <c r="B11" s="53" t="s">
        <v>243</v>
      </c>
      <c r="C11" s="39" t="s">
        <v>244</v>
      </c>
      <c r="D11" s="39" t="s">
        <v>245</v>
      </c>
      <c r="E11" s="39" t="s">
        <v>246</v>
      </c>
    </row>
    <row r="12" spans="1:6" ht="159.75" customHeight="1" x14ac:dyDescent="0.3">
      <c r="A12" s="54">
        <v>8</v>
      </c>
      <c r="B12" s="55" t="s">
        <v>247</v>
      </c>
      <c r="C12" s="42" t="s">
        <v>248</v>
      </c>
      <c r="D12" s="42" t="s">
        <v>249</v>
      </c>
      <c r="E12" s="42" t="s">
        <v>250</v>
      </c>
    </row>
    <row r="13" spans="1:6" ht="219.75" customHeight="1" x14ac:dyDescent="0.3">
      <c r="A13" s="54">
        <v>9</v>
      </c>
      <c r="B13" s="55" t="s">
        <v>251</v>
      </c>
      <c r="C13" s="42" t="s">
        <v>252</v>
      </c>
      <c r="D13" s="42" t="s">
        <v>253</v>
      </c>
      <c r="E13" s="42" t="s">
        <v>254</v>
      </c>
    </row>
    <row r="14" spans="1:6" ht="219.75" customHeight="1" x14ac:dyDescent="0.3">
      <c r="A14" s="54">
        <v>10</v>
      </c>
      <c r="B14" s="55" t="s">
        <v>255</v>
      </c>
      <c r="C14" s="42" t="s">
        <v>287</v>
      </c>
      <c r="D14" s="42" t="s">
        <v>256</v>
      </c>
      <c r="E14" s="42" t="s">
        <v>257</v>
      </c>
    </row>
    <row r="15" spans="1:6" ht="174" customHeight="1" x14ac:dyDescent="0.3">
      <c r="A15" s="52">
        <v>11</v>
      </c>
      <c r="B15" s="53" t="s">
        <v>288</v>
      </c>
      <c r="C15" s="39" t="s">
        <v>289</v>
      </c>
      <c r="D15" s="39" t="s">
        <v>290</v>
      </c>
      <c r="E15" s="39" t="s">
        <v>291</v>
      </c>
    </row>
    <row r="16" spans="1:6" ht="204" customHeight="1" x14ac:dyDescent="0.3">
      <c r="A16" s="54">
        <v>12</v>
      </c>
      <c r="B16" s="55" t="s">
        <v>292</v>
      </c>
      <c r="C16" s="42" t="s">
        <v>293</v>
      </c>
      <c r="D16" s="42" t="s">
        <v>294</v>
      </c>
      <c r="E16" s="42" t="s">
        <v>356</v>
      </c>
    </row>
    <row r="17" spans="1:5" ht="204" customHeight="1" x14ac:dyDescent="0.3">
      <c r="A17" s="52">
        <v>13</v>
      </c>
      <c r="B17" s="53" t="s">
        <v>295</v>
      </c>
      <c r="C17" s="39" t="s">
        <v>296</v>
      </c>
      <c r="D17" s="39" t="s">
        <v>297</v>
      </c>
      <c r="E17" s="39" t="s">
        <v>298</v>
      </c>
    </row>
    <row r="18" spans="1:5" ht="219.75" customHeight="1" x14ac:dyDescent="0.3">
      <c r="A18" s="54">
        <v>14</v>
      </c>
      <c r="B18" s="55" t="s">
        <v>299</v>
      </c>
      <c r="C18" s="42" t="s">
        <v>300</v>
      </c>
      <c r="D18" s="42" t="s">
        <v>301</v>
      </c>
      <c r="E18" s="42" t="s">
        <v>357</v>
      </c>
    </row>
    <row r="19" spans="1:5" ht="180" customHeight="1" x14ac:dyDescent="0.3">
      <c r="A19" s="52">
        <v>15</v>
      </c>
      <c r="B19" s="53" t="s">
        <v>302</v>
      </c>
      <c r="C19" s="39" t="s">
        <v>303</v>
      </c>
      <c r="D19" s="39" t="s">
        <v>304</v>
      </c>
      <c r="E19" s="39" t="s">
        <v>305</v>
      </c>
    </row>
    <row r="20" spans="1:5" ht="219.75" customHeight="1" x14ac:dyDescent="0.3">
      <c r="A20" s="54">
        <v>16</v>
      </c>
      <c r="B20" s="55" t="s">
        <v>306</v>
      </c>
      <c r="C20" s="42" t="s">
        <v>307</v>
      </c>
      <c r="D20" s="42" t="s">
        <v>308</v>
      </c>
      <c r="E20" s="42" t="s">
        <v>309</v>
      </c>
    </row>
    <row r="21" spans="1:5" ht="219.75" customHeight="1" x14ac:dyDescent="0.3">
      <c r="A21" s="52">
        <v>17</v>
      </c>
      <c r="B21" s="53" t="s">
        <v>310</v>
      </c>
      <c r="C21" s="39" t="s">
        <v>311</v>
      </c>
      <c r="D21" s="39" t="s">
        <v>312</v>
      </c>
      <c r="E21" s="39" t="s">
        <v>313</v>
      </c>
    </row>
    <row r="22" spans="1:5" ht="219.75" customHeight="1" x14ac:dyDescent="0.3">
      <c r="A22" s="54">
        <v>18</v>
      </c>
      <c r="B22" s="55" t="s">
        <v>314</v>
      </c>
      <c r="C22" s="42" t="s">
        <v>315</v>
      </c>
      <c r="D22" s="42" t="s">
        <v>316</v>
      </c>
      <c r="E22" s="42" t="s">
        <v>317</v>
      </c>
    </row>
    <row r="23" spans="1:5" ht="219.75" customHeight="1" x14ac:dyDescent="0.3">
      <c r="A23" s="52">
        <v>19</v>
      </c>
      <c r="B23" s="53" t="s">
        <v>318</v>
      </c>
      <c r="C23" s="39" t="s">
        <v>319</v>
      </c>
      <c r="D23" s="39" t="s">
        <v>320</v>
      </c>
      <c r="E23" s="39" t="s">
        <v>358</v>
      </c>
    </row>
    <row r="24" spans="1:5" ht="219.75" customHeight="1" x14ac:dyDescent="0.3">
      <c r="A24" s="54">
        <v>20</v>
      </c>
      <c r="B24" s="55" t="s">
        <v>321</v>
      </c>
      <c r="C24" s="42" t="s">
        <v>322</v>
      </c>
      <c r="D24" s="42" t="s">
        <v>323</v>
      </c>
      <c r="E24" s="42" t="s">
        <v>324</v>
      </c>
    </row>
    <row r="25" spans="1:5" ht="219.75" customHeight="1" x14ac:dyDescent="0.3">
      <c r="A25" s="52">
        <v>21</v>
      </c>
      <c r="B25" s="53" t="s">
        <v>325</v>
      </c>
      <c r="C25" s="39" t="s">
        <v>326</v>
      </c>
      <c r="D25" s="39" t="s">
        <v>327</v>
      </c>
      <c r="E25" s="39" t="s">
        <v>328</v>
      </c>
    </row>
    <row r="26" spans="1:5" ht="219.75" customHeight="1" x14ac:dyDescent="0.3">
      <c r="A26" s="54">
        <v>22</v>
      </c>
      <c r="B26" s="55" t="s">
        <v>329</v>
      </c>
      <c r="C26" s="42" t="s">
        <v>330</v>
      </c>
      <c r="D26" s="42" t="s">
        <v>331</v>
      </c>
      <c r="E26" s="42" t="s">
        <v>332</v>
      </c>
    </row>
    <row r="27" spans="1:5" ht="219.75" customHeight="1" x14ac:dyDescent="0.3">
      <c r="A27" s="52">
        <v>23</v>
      </c>
      <c r="B27" s="53" t="s">
        <v>333</v>
      </c>
      <c r="C27" s="39" t="s">
        <v>334</v>
      </c>
      <c r="D27" s="39" t="s">
        <v>335</v>
      </c>
      <c r="E27" s="39" t="s">
        <v>359</v>
      </c>
    </row>
    <row r="28" spans="1:5" ht="240" customHeight="1" x14ac:dyDescent="0.3">
      <c r="A28" s="54">
        <v>24</v>
      </c>
      <c r="B28" s="55" t="s">
        <v>336</v>
      </c>
      <c r="C28" s="42" t="s">
        <v>337</v>
      </c>
      <c r="D28" s="42" t="s">
        <v>338</v>
      </c>
      <c r="E28" s="42" t="s">
        <v>339</v>
      </c>
    </row>
    <row r="29" spans="1:5" ht="240" customHeight="1" x14ac:dyDescent="0.3">
      <c r="A29" s="52">
        <v>25</v>
      </c>
      <c r="B29" s="53" t="s">
        <v>340</v>
      </c>
      <c r="C29" s="39" t="s">
        <v>341</v>
      </c>
      <c r="D29" s="39" t="s">
        <v>342</v>
      </c>
      <c r="E29" s="39" t="s">
        <v>343</v>
      </c>
    </row>
    <row r="30" spans="1:5" ht="259.5" customHeight="1" x14ac:dyDescent="0.3">
      <c r="A30" s="54">
        <v>26</v>
      </c>
      <c r="B30" s="55" t="s">
        <v>258</v>
      </c>
      <c r="C30" s="42" t="s">
        <v>259</v>
      </c>
      <c r="D30" s="42" t="s">
        <v>260</v>
      </c>
      <c r="E30" s="42" t="s">
        <v>261</v>
      </c>
    </row>
    <row r="31" spans="1:5" ht="160.80000000000001" customHeight="1" x14ac:dyDescent="0.3">
      <c r="A31" s="52">
        <v>27</v>
      </c>
      <c r="B31" s="53" t="s">
        <v>344</v>
      </c>
      <c r="C31" s="39" t="s">
        <v>345</v>
      </c>
      <c r="D31" s="39" t="s">
        <v>346</v>
      </c>
      <c r="E31" s="39" t="s">
        <v>347</v>
      </c>
    </row>
    <row r="32" spans="1:5" ht="160.80000000000001" customHeight="1" x14ac:dyDescent="0.3">
      <c r="A32" s="54">
        <v>28</v>
      </c>
      <c r="B32" s="55" t="s">
        <v>348</v>
      </c>
      <c r="C32" s="42" t="s">
        <v>349</v>
      </c>
      <c r="D32" s="42" t="s">
        <v>350</v>
      </c>
      <c r="E32" s="42" t="s">
        <v>360</v>
      </c>
    </row>
    <row r="33" spans="1:1" ht="15" customHeight="1" x14ac:dyDescent="0.3">
      <c r="A33" s="4" t="s">
        <v>262</v>
      </c>
    </row>
    <row r="34" spans="1:1" ht="15" customHeight="1" x14ac:dyDescent="0.3">
      <c r="A34" s="1" t="s">
        <v>263</v>
      </c>
    </row>
    <row r="35" spans="1:1" ht="60" customHeight="1" x14ac:dyDescent="0.3">
      <c r="A35" s="1" t="s">
        <v>264</v>
      </c>
    </row>
    <row r="36" spans="1:1" ht="15" customHeight="1" x14ac:dyDescent="0.3">
      <c r="A36" s="1" t="s">
        <v>265</v>
      </c>
    </row>
    <row r="37" spans="1:1" ht="15" customHeight="1" x14ac:dyDescent="0.3"/>
    <row r="38" spans="1:1" ht="15" customHeight="1" x14ac:dyDescent="0.3"/>
    <row r="39" spans="1:1" ht="15" customHeight="1" x14ac:dyDescent="0.3"/>
    <row r="40" spans="1:1" ht="15" customHeight="1" x14ac:dyDescent="0.3"/>
    <row r="41" spans="1:1" ht="15" customHeight="1" x14ac:dyDescent="0.3">
      <c r="A41" s="4" t="s">
        <v>266</v>
      </c>
    </row>
    <row r="42" spans="1:1" ht="15" customHeight="1" x14ac:dyDescent="0.3">
      <c r="A42" s="56" t="s">
        <v>267</v>
      </c>
    </row>
    <row r="43" spans="1:1" ht="15" customHeight="1" x14ac:dyDescent="0.3">
      <c r="A43" s="2" t="s">
        <v>268</v>
      </c>
    </row>
    <row r="44" spans="1:1" ht="15" customHeight="1" x14ac:dyDescent="0.3">
      <c r="A44" s="56" t="s">
        <v>269</v>
      </c>
    </row>
    <row r="45" spans="1:1" ht="15" customHeight="1" x14ac:dyDescent="0.3">
      <c r="A45" s="2" t="s">
        <v>270</v>
      </c>
    </row>
    <row r="46" spans="1:1" ht="15" customHeight="1" x14ac:dyDescent="0.3">
      <c r="A46" s="56" t="s">
        <v>271</v>
      </c>
    </row>
    <row r="47" spans="1:1" ht="15" customHeight="1" x14ac:dyDescent="0.3">
      <c r="A47" s="2" t="s">
        <v>272</v>
      </c>
    </row>
    <row r="48" spans="1:1" ht="15" customHeight="1" x14ac:dyDescent="0.3">
      <c r="A48" s="56" t="s">
        <v>273</v>
      </c>
    </row>
    <row r="49" spans="1:1" ht="15" customHeight="1" x14ac:dyDescent="0.3">
      <c r="A49" s="2" t="s">
        <v>274</v>
      </c>
    </row>
    <row r="50" spans="1:1" ht="15" customHeight="1" x14ac:dyDescent="0.3">
      <c r="A50" s="56" t="s">
        <v>275</v>
      </c>
    </row>
    <row r="51" spans="1:1" ht="15" customHeight="1" x14ac:dyDescent="0.3">
      <c r="A51" s="2" t="s">
        <v>276</v>
      </c>
    </row>
    <row r="52" spans="1:1" ht="15" customHeight="1" x14ac:dyDescent="0.3">
      <c r="A52" s="56" t="s">
        <v>277</v>
      </c>
    </row>
    <row r="53" spans="1:1" x14ac:dyDescent="0.3">
      <c r="A53" s="2" t="s">
        <v>278</v>
      </c>
    </row>
  </sheetData>
  <mergeCells count="2">
    <mergeCell ref="A1:F1"/>
    <mergeCell ref="A2:F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Issues Log</vt:lpstr>
      <vt:lpstr>KPI Scope &amp; Priority</vt:lpstr>
      <vt:lpstr>Process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2026-09-19T20:05:32Z</dcterms:created>
  <dcterms:modified xsi:type="dcterms:W3CDTF">2026-09-19T20:52:16Z</dcterms:modified>
  <dc:language/>
</cp:coreProperties>
</file>